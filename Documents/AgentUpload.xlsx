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Documents\"/>
    </mc:Choice>
  </mc:AlternateContent>
  <bookViews>
    <workbookView xWindow="-110" yWindow="-110" windowWidth="23260" windowHeight="12460"/>
  </bookViews>
  <sheets>
    <sheet name="Sheet1" sheetId="1" r:id="rId1"/>
    <sheet name="Sheet3" sheetId="3" r:id="rId2"/>
    <sheet name="Sheet2" sheetId="2" r:id="rId3"/>
  </sheets>
  <definedNames>
    <definedName name="_xlnm._FilterDatabase" localSheetId="1" hidden="1">Sheet3!$A$1:$H$106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" i="1" l="1"/>
  <c r="O1" i="1"/>
  <c r="BP1" i="1"/>
  <c r="A1" i="1" l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<sst xmlns="http://schemas.openxmlformats.org/spreadsheetml/2006/main" count="1203" uniqueCount="406">
  <si>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</si>
  <si>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</si>
  <si>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</si>
  <si>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</si>
  <si>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</si>
  <si>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</si>
  <si>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</si>
  <si>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</si>
  <si>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</si>
  <si>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</si>
  <si>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</si>
  <si>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</si>
  <si>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</si>
  <si>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</si>
  <si>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</si>
  <si>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</si>
  <si>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</si>
  <si>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</si>
  <si>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</si>
  <si>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</si>
  <si>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</si>
  <si>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</si>
  <si>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</si>
  <si>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</si>
  <si>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</si>
  <si>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</si>
  <si>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</si>
  <si>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</si>
  <si>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</si>
  <si>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</si>
  <si>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</si>
  <si>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</si>
  <si>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</si>
  <si>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</si>
  <si>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</si>
  <si>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</si>
  <si>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</si>
  <si>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</si>
  <si>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</si>
  <si>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</si>
  <si>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</si>
  <si>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</si>
  <si>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</si>
  <si>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</si>
  <si>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</si>
  <si>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</si>
  <si>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</si>
  <si>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</si>
  <si>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</si>
  <si>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</si>
  <si>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</si>
  <si>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</si>
  <si>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</si>
  <si>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</si>
  <si>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</si>
  <si>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</si>
  <si>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</si>
  <si>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</si>
  <si>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</si>
  <si>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</si>
  <si>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</si>
  <si>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</si>
  <si>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</si>
  <si>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</si>
  <si>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</si>
  <si>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</si>
  <si>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</si>
  <si>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</si>
  <si>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</si>
  <si>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</si>
  <si>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</si>
  <si>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</si>
  <si>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</si>
  <si>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</si>
  <si>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</si>
  <si>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</si>
  <si>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</si>
  <si>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</si>
  <si>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</si>
  <si>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</si>
  <si>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</si>
  <si>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</si>
  <si>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</si>
  <si>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</si>
  <si>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</si>
  <si>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</si>
  <si>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</si>
  <si>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</si>
  <si>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</si>
  <si>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</si>
  <si>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</si>
  <si>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</si>
  <si>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</si>
  <si>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</si>
  <si>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</si>
  <si>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</si>
  <si>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</si>
  <si>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</si>
  <si>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</si>
  <si>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</si>
  <si>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</si>
  <si>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</si>
  <si>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</si>
  <si>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</si>
  <si>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</si>
  <si>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</si>
  <si>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</si>
  <si>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</si>
  <si>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</si>
  <si>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</si>
  <si>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</si>
  <si>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</si>
  <si>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</si>
  <si>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</si>
  <si>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</si>
  <si>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</si>
  <si>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</si>
  <si>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</si>
  <si>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</si>
  <si>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</si>
  <si>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</si>
  <si>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</si>
  <si>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</si>
  <si>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</si>
  <si>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</si>
  <si>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</si>
  <si>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</si>
  <si>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</si>
  <si>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</si>
  <si>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</si>
  <si>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</si>
  <si>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</si>
  <si>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</si>
  <si>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</si>
  <si>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</si>
  <si>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</si>
  <si>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</si>
  <si>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</si>
  <si>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</si>
  <si>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</si>
  <si>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</si>
  <si>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</si>
  <si>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</si>
  <si>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</si>
  <si>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</si>
  <si>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</si>
  <si>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</si>
  <si>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</si>
  <si>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</si>
  <si>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</si>
  <si>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</si>
  <si>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</si>
  <si>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</si>
  <si>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</si>
  <si>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</si>
  <si>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</si>
  <si>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</si>
  <si>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</si>
  <si>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</si>
  <si>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</si>
  <si>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</si>
  <si>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</si>
  <si>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</si>
  <si>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</si>
  <si>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</si>
  <si>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</si>
  <si>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</si>
  <si>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Quon Brock</t>
  </si>
  <si>
    <t>Denise May</t>
  </si>
  <si>
    <t>Zachary Ellison</t>
  </si>
  <si>
    <t>Merrill Coleman</t>
  </si>
  <si>
    <t>Quon</t>
  </si>
  <si>
    <t>Denise</t>
  </si>
  <si>
    <t>Zachary</t>
  </si>
  <si>
    <t>Merrill</t>
  </si>
  <si>
    <t>Brock</t>
  </si>
  <si>
    <t>May</t>
  </si>
  <si>
    <t>Ellison</t>
  </si>
  <si>
    <t>Coleman</t>
  </si>
  <si>
    <t>A</t>
  </si>
  <si>
    <t>KPWHY0210T</t>
  </si>
  <si>
    <t>FGKNN4725Z</t>
  </si>
  <si>
    <t>HYHGI3531C</t>
  </si>
  <si>
    <t>HWULX6881T</t>
  </si>
  <si>
    <t>IRDA00007</t>
  </si>
  <si>
    <t>IRDA00008</t>
  </si>
  <si>
    <t>IRDA00009</t>
  </si>
  <si>
    <t>IRDA00010</t>
  </si>
  <si>
    <t>GST00007</t>
  </si>
  <si>
    <t>GST00008</t>
  </si>
  <si>
    <t>GST00009</t>
  </si>
  <si>
    <t>GST00010</t>
  </si>
  <si>
    <t>Docket7</t>
  </si>
  <si>
    <t>Docket8</t>
  </si>
  <si>
    <t>Docket9</t>
  </si>
  <si>
    <t>Docket10</t>
  </si>
  <si>
    <t>Isaias Hull</t>
  </si>
  <si>
    <t>Andi Perkins</t>
  </si>
  <si>
    <t>Kyrie Good</t>
  </si>
  <si>
    <t>Nathalia Rocha</t>
  </si>
  <si>
    <t>EMP7</t>
  </si>
  <si>
    <t>EMP8</t>
  </si>
  <si>
    <t>EMP9</t>
  </si>
  <si>
    <t>EMP10</t>
  </si>
  <si>
    <t>URN7</t>
  </si>
  <si>
    <t>URN8</t>
  </si>
  <si>
    <t>URN9</t>
  </si>
  <si>
    <t>URN10</t>
  </si>
  <si>
    <t>priya.nair.kerala@outlook.com</t>
  </si>
  <si>
    <t>rahul_jain1990@yahoo.co.in</t>
  </si>
  <si>
    <t>sneha_singh.mumbai@gmail.com</t>
  </si>
  <si>
    <t>amit.verma.hyd@gmail.com</t>
  </si>
  <si>
    <t>priya nair</t>
  </si>
  <si>
    <t>rahul jain</t>
  </si>
  <si>
    <t>sneha singh</t>
  </si>
  <si>
    <t>amit verma</t>
  </si>
  <si>
    <t>CMS3</t>
  </si>
  <si>
    <t>CMS4</t>
  </si>
  <si>
    <t>CMS5</t>
  </si>
  <si>
    <t>CMS6</t>
  </si>
  <si>
    <t>ST7</t>
  </si>
  <si>
    <t>ST8</t>
  </si>
  <si>
    <t>ST9</t>
  </si>
  <si>
    <t>ST10</t>
  </si>
  <si>
    <t>IFS3</t>
  </si>
  <si>
    <t>IFS4</t>
  </si>
  <si>
    <t>IFS5</t>
  </si>
  <si>
    <t>IFS6</t>
  </si>
  <si>
    <t>Client7</t>
  </si>
  <si>
    <t>Client8</t>
  </si>
  <si>
    <t>Client9</t>
  </si>
  <si>
    <t>Client10</t>
  </si>
  <si>
    <t>AM7</t>
  </si>
  <si>
    <t>AM8</t>
  </si>
  <si>
    <t>AM9</t>
  </si>
  <si>
    <t>AM10</t>
  </si>
  <si>
    <t>LIC007</t>
  </si>
  <si>
    <t>LIC008</t>
  </si>
  <si>
    <t>LIC009</t>
  </si>
  <si>
    <t>LIC010</t>
  </si>
  <si>
    <t xml:space="preserve"> Mumbai </t>
  </si>
  <si>
    <t xml:space="preserve"> Omkar Residency</t>
  </si>
  <si>
    <t xml:space="preserve"> Link Road</t>
  </si>
  <si>
    <t xml:space="preserve"> Andheri West</t>
  </si>
  <si>
    <t xml:space="preserve"> Sai Apartment</t>
  </si>
  <si>
    <t xml:space="preserve"> Tilak Nagar</t>
  </si>
  <si>
    <t xml:space="preserve"> Chembur</t>
  </si>
  <si>
    <t xml:space="preserve"> Chawl No 3</t>
  </si>
  <si>
    <t xml:space="preserve"> Gokhale Road</t>
  </si>
  <si>
    <t xml:space="preserve"> Dadar West</t>
  </si>
  <si>
    <t xml:space="preserve"> Sea View Building</t>
  </si>
  <si>
    <t xml:space="preserve"> Worli Sea Face</t>
  </si>
  <si>
    <t xml:space="preserve"> Worli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</si>
  <si>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</si>
  <si>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</si>
  <si>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</si>
  <si>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</si>
  <si>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</si>
  <si>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</si>
  <si>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</si>
  <si>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</si>
  <si>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</si>
  <si>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</si>
  <si>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Zonal Head</t>
  </si>
  <si>
    <t>Zonal Office</t>
  </si>
  <si>
    <t>West</t>
  </si>
  <si>
    <t>East</t>
  </si>
  <si>
    <t>North</t>
  </si>
  <si>
    <t>South</t>
  </si>
  <si>
    <t>AG2602191401001</t>
  </si>
  <si>
    <t>AgentId</t>
  </si>
  <si>
    <t>ModifiedBy</t>
  </si>
  <si>
    <t>ModifiedDate</t>
  </si>
  <si>
    <t>AgentMainCodeVWEid</t>
  </si>
  <si>
    <t>Comments</t>
  </si>
  <si>
    <t>Reason</t>
  </si>
  <si>
    <t>agent_id</t>
  </si>
  <si>
    <t>agent_code</t>
  </si>
  <si>
    <t>agent_name</t>
  </si>
  <si>
    <t>business_name</t>
  </si>
  <si>
    <t>first_name</t>
  </si>
  <si>
    <t>middle_name</t>
  </si>
  <si>
    <t>last_name</t>
  </si>
  <si>
    <t>prefix</t>
  </si>
  <si>
    <t>suffix</t>
  </si>
  <si>
    <t>dob</t>
  </si>
  <si>
    <t>nationality</t>
  </si>
  <si>
    <t>preferred_language</t>
  </si>
  <si>
    <t>agent_level</t>
  </si>
  <si>
    <t>staff_code</t>
  </si>
  <si>
    <t>contracted_date</t>
  </si>
  <si>
    <t>agent_status_code</t>
  </si>
  <si>
    <t>status_date</t>
  </si>
  <si>
    <t>is_licensed</t>
  </si>
  <si>
    <t>pan_number</t>
  </si>
  <si>
    <t>aadhaar_number</t>
  </si>
  <si>
    <t>irda_license_number</t>
  </si>
  <si>
    <t>gst_number</t>
  </si>
  <si>
    <t>created_by</t>
  </si>
  <si>
    <t>created_date</t>
  </si>
  <si>
    <t>modified_by</t>
  </si>
  <si>
    <t>modified_date</t>
  </si>
  <si>
    <t>rowversion</t>
  </si>
  <si>
    <t>supervisor_id</t>
  </si>
  <si>
    <t>is_active</t>
  </si>
  <si>
    <t>email</t>
  </si>
  <si>
    <t>mobileno</t>
  </si>
  <si>
    <t>applicationdocketno</t>
  </si>
  <si>
    <t>father_husband_nm</t>
  </si>
  <si>
    <t>employeecode</t>
  </si>
  <si>
    <t>startdate</t>
  </si>
  <si>
    <t>panaadharlinkflag</t>
  </si>
  <si>
    <t>sec206abflag</t>
  </si>
  <si>
    <t>taxstatus</t>
  </si>
  <si>
    <t>stateeid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</si>
  <si>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</si>
  <si>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</si>
  <si>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</si>
  <si>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</si>
  <si>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</si>
  <si>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</si>
  <si>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</si>
  <si>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</si>
  <si>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agenttypecategory</t>
  </si>
  <si>
    <t>agentclassification</t>
  </si>
  <si>
    <t>cmsagenttype</t>
  </si>
  <si>
    <t>packageid</t>
  </si>
  <si>
    <t>servicetaxno</t>
  </si>
  <si>
    <t>ulipflag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</si>
  <si>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</si>
  <si>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</si>
  <si>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</si>
  <si>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</si>
  <si>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</si>
  <si>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</si>
  <si>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branchcode</t>
  </si>
  <si>
    <t>branchname</t>
  </si>
  <si>
    <t>ic36trngcompletiondate</t>
  </si>
  <si>
    <t>strngcompletiondate</t>
  </si>
  <si>
    <t>confirmationdate</t>
  </si>
  <si>
    <t>fgrockstartrainingdate</t>
  </si>
  <si>
    <t>incrementdate</t>
  </si>
  <si>
    <t>lastpromotiondate</t>
  </si>
  <si>
    <t>hrdoj</t>
  </si>
  <si>
    <t>fgvaluetrngdate</t>
  </si>
  <si>
    <t>hsecpolicytrngdate</t>
  </si>
  <si>
    <t>itsecpolicytrngdate</t>
  </si>
  <si>
    <t>npstrngcompletiondate</t>
  </si>
  <si>
    <t>whistleblowertrngdate</t>
  </si>
  <si>
    <t>govpolicytrngdate</t>
  </si>
  <si>
    <t>inductiontrngdate</t>
  </si>
  <si>
    <t>lastworkingdate</t>
  </si>
  <si>
    <t>licenseno</t>
  </si>
  <si>
    <t>licenseissuedate</t>
  </si>
  <si>
    <t>licenseexpirydate</t>
  </si>
  <si>
    <t>orgid</t>
  </si>
  <si>
    <t>bankacctype</t>
  </si>
  <si>
    <t>channel</t>
  </si>
  <si>
    <t>subchannel</t>
  </si>
  <si>
    <t>agent_type_cat</t>
  </si>
  <si>
    <t>agent_class</t>
  </si>
  <si>
    <t>martial_status</t>
  </si>
  <si>
    <t>education</t>
  </si>
  <si>
    <t>state</t>
  </si>
  <si>
    <t>country</t>
  </si>
  <si>
    <t>gender</t>
  </si>
  <si>
    <t>title</t>
  </si>
  <si>
    <t>occupation</t>
  </si>
  <si>
    <t>agent_sub_type_code</t>
  </si>
  <si>
    <t>designation_code</t>
  </si>
  <si>
    <t>agent_type_code</t>
  </si>
  <si>
    <t>location_code</t>
  </si>
  <si>
    <t>candidatetype</t>
  </si>
  <si>
    <t>agenttype</t>
  </si>
  <si>
    <t>commissionclass</t>
  </si>
  <si>
    <t>activepermaddress</t>
  </si>
  <si>
    <t>activemailaddress</t>
  </si>
  <si>
    <t>vertical</t>
  </si>
  <si>
    <t>licensetype</t>
  </si>
  <si>
    <t>licensestatus</t>
  </si>
  <si>
    <t>traininggrouptype</t>
  </si>
  <si>
    <t>Column Name</t>
  </si>
  <si>
    <t>#</t>
  </si>
  <si>
    <t>Data type</t>
  </si>
  <si>
    <t>Identity</t>
  </si>
  <si>
    <t>Collation</t>
  </si>
  <si>
    <t>Not Null</t>
  </si>
  <si>
    <t>Default</t>
  </si>
  <si>
    <t>Comment</t>
  </si>
  <si>
    <t>int4</t>
  </si>
  <si>
    <t>Always</t>
  </si>
  <si>
    <t>[NULL]</t>
  </si>
  <si>
    <t>varchar(50)</t>
  </si>
  <si>
    <t>default</t>
  </si>
  <si>
    <t>varchar(150)</t>
  </si>
  <si>
    <t>varchar(300)</t>
  </si>
  <si>
    <t>varchar(20)</t>
  </si>
  <si>
    <t>date</t>
  </si>
  <si>
    <t>varchar(40)</t>
  </si>
  <si>
    <t>varchar(22)</t>
  </si>
  <si>
    <t>bool</t>
  </si>
  <si>
    <t>varchar(100)</t>
  </si>
  <si>
    <t>timestamp</t>
  </si>
  <si>
    <t>varchar(200)</t>
  </si>
  <si>
    <t>Mandatory</t>
  </si>
  <si>
    <t>refer Channel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</si>
</sst>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64" fontId="1" fillId="0" borderId="1" xfId="0" applyNumberFormat="1" applyFont="1" applyFill="1" applyBorder="1" applyAlignment="1">
      <alignment horizontal="center" vertical="top"/>
    </xf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1" fontId="0" fillId="0" borderId="0" xfId="0" applyNumberFormat="1" applyFill="1"/>
    <xf numFmtId="49" fontId="0" fillId="0" borderId="0" xfId="0" applyNumberFormat="1" applyFill="1"/>
    <xf numFmtId="0" fontId="3" fillId="0" borderId="0" xfId="0" applyFont="1" applyFill="1"/>
    <xf numFmtId="14" fontId="0" fillId="0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7"/>
  <sheetViews>
    <sheetView tabSelected="1" topLeftCell="DU1" workbookViewId="0">
      <selection activeCell="E9" sqref="E9"/>
    </sheetView>
  </sheetViews>
  <sheetFormatPr defaultColWidth="8.90625" defaultRowHeight="14.5" x14ac:dyDescent="0.35"/>
  <cols>
    <col min="1" max="1" width="10.81640625" style="4" bestFit="1" customWidth="1"/>
    <col min="2" max="2" width="16" style="4" bestFit="1" customWidth="1"/>
    <col min="3" max="3" width="15.54296875" style="4" bestFit="1" customWidth="1"/>
    <col min="4" max="4" width="10.1796875" style="4" bestFit="1" customWidth="1"/>
    <col min="5" max="5" width="12.81640625" style="4" bestFit="1" customWidth="1"/>
    <col min="6" max="6" width="9.81640625" style="4" bestFit="1" customWidth="1"/>
    <col min="7" max="8" width="6.1796875" style="4" bestFit="1" customWidth="1"/>
    <col min="9" max="9" width="10.453125" style="5" bestFit="1" customWidth="1"/>
    <col min="10" max="10" width="10.81640625" style="4" bestFit="1" customWidth="1"/>
    <col min="11" max="11" width="18.1796875" style="4" bestFit="1" customWidth="1"/>
    <col min="12" max="12" width="12.81640625" style="4" bestFit="1" customWidth="1"/>
    <col min="13" max="13" width="16.1796875" style="4" bestFit="1" customWidth="1"/>
    <col min="14" max="14" width="12.54296875" style="4" bestFit="1" customWidth="1"/>
    <col min="15" max="15" width="11" style="4" bestFit="1" customWidth="1"/>
    <col min="16" max="16" width="9.81640625" style="4" bestFit="1" customWidth="1"/>
    <col min="17" max="17" width="16.1796875" style="4" bestFit="1" customWidth="1"/>
    <col min="18" max="18" width="15" style="4" bestFit="1" customWidth="1"/>
    <col min="19" max="19" width="16.453125" style="4" bestFit="1" customWidth="1"/>
    <col min="20" max="20" width="10.54296875" style="4" bestFit="1" customWidth="1"/>
    <col min="21" max="21" width="10.1796875" style="4" bestFit="1" customWidth="1"/>
    <col min="22" max="22" width="18.81640625" style="4" bestFit="1" customWidth="1"/>
    <col min="23" max="23" width="16.81640625" style="4" bestFit="1" customWidth="1"/>
    <col min="24" max="24" width="18.54296875" style="4" bestFit="1" customWidth="1"/>
    <col min="25" max="25" width="11.1796875" style="4" bestFit="1" customWidth="1"/>
    <col min="26" max="26" width="10.1796875" style="4" bestFit="1" customWidth="1"/>
    <col min="27" max="27" width="12.1796875" style="4" bestFit="1" customWidth="1"/>
    <col min="28" max="28" width="11.81640625" style="4" bestFit="1" customWidth="1"/>
    <col min="29" max="29" width="8" style="4" bestFit="1" customWidth="1"/>
    <col min="30" max="30" width="20.1796875" style="4" bestFit="1" customWidth="1"/>
    <col min="31" max="31" width="19.81640625" style="4" bestFit="1" customWidth="1"/>
    <col min="32" max="32" width="14.54296875" style="4" bestFit="1" customWidth="1"/>
    <col min="33" max="33" width="10.453125" style="4" bestFit="1" customWidth="1"/>
    <col min="34" max="34" width="18" style="4" bestFit="1" customWidth="1"/>
    <col min="35" max="35" width="12.81640625" style="4" bestFit="1" customWidth="1"/>
    <col min="36" max="36" width="10" style="4" bestFit="1" customWidth="1"/>
    <col min="37" max="37" width="9.453125" style="4" bestFit="1" customWidth="1"/>
    <col min="38" max="38" width="8.1796875" style="4" bestFit="1" customWidth="1"/>
    <col min="39" max="39" width="15.81640625" style="4" bestFit="1" customWidth="1"/>
    <col min="40" max="40" width="5.81640625" style="4" bestFit="1" customWidth="1"/>
    <col min="41" max="41" width="19.1796875" style="4" bestFit="1" customWidth="1"/>
    <col min="42" max="42" width="17.1796875" style="4" bestFit="1" customWidth="1"/>
    <col min="43" max="43" width="17.453125" style="4" bestFit="1" customWidth="1"/>
    <col min="44" max="44" width="16" style="4" bestFit="1" customWidth="1"/>
    <col min="45" max="45" width="20.1796875" style="4" bestFit="1" customWidth="1"/>
    <col min="46" max="46" width="34.81640625" style="4" bestFit="1" customWidth="1"/>
    <col min="47" max="47" width="17.81640625" style="4" bestFit="1" customWidth="1"/>
    <col min="48" max="48" width="14.81640625" style="4" bestFit="1" customWidth="1"/>
    <col min="49" max="49" width="13.1796875" style="4" bestFit="1" customWidth="1"/>
    <col min="50" max="50" width="8.1796875" style="4" bestFit="1" customWidth="1"/>
    <col min="51" max="51" width="18.1796875" style="4" bestFit="1" customWidth="1"/>
    <col min="52" max="52" width="4.54296875" style="4" bestFit="1" customWidth="1"/>
    <col min="53" max="53" width="27.1796875" style="4" bestFit="1" customWidth="1"/>
    <col min="54" max="54" width="10.54296875" style="4" bestFit="1" customWidth="1"/>
    <col min="55" max="55" width="22.453125" style="4" bestFit="1" customWidth="1"/>
    <col min="56" max="56" width="20.81640625" style="4" bestFit="1" customWidth="1"/>
    <col min="57" max="57" width="16" style="4" bestFit="1" customWidth="1"/>
    <col min="58" max="58" width="14.81640625" style="4" bestFit="1" customWidth="1"/>
    <col min="59" max="59" width="11.54296875" style="4" bestFit="1" customWidth="1"/>
    <col min="60" max="60" width="12.1796875" style="4" bestFit="1" customWidth="1"/>
    <col min="61" max="61" width="23.1796875" style="4" bestFit="1" customWidth="1"/>
    <col min="62" max="62" width="20.81640625" style="4" bestFit="1" customWidth="1"/>
    <col min="63" max="63" width="17" style="4" bestFit="1" customWidth="1"/>
    <col min="64" max="64" width="22.1796875" style="4" bestFit="1" customWidth="1"/>
    <col min="65" max="65" width="14.453125" style="4" bestFit="1" customWidth="1"/>
    <col min="66" max="66" width="18.1796875" style="4" bestFit="1" customWidth="1"/>
    <col min="67" max="67" width="10.453125" style="4" bestFit="1" customWidth="1"/>
    <col min="68" max="68" width="16.1796875" style="4" bestFit="1" customWidth="1"/>
    <col min="69" max="70" width="18.81640625" style="4" bestFit="1" customWidth="1"/>
    <col min="71" max="71" width="23.1796875" style="4" bestFit="1" customWidth="1"/>
    <col min="72" max="72" width="22.81640625" style="4" bestFit="1" customWidth="1"/>
    <col min="73" max="73" width="18.1796875" style="4" bestFit="1" customWidth="1"/>
    <col min="74" max="74" width="17.81640625" style="4" bestFit="1" customWidth="1"/>
    <col min="75" max="75" width="16.1796875" style="4" bestFit="1" customWidth="1"/>
    <col min="76" max="76" width="10.1796875" style="4" bestFit="1" customWidth="1"/>
    <col min="77" max="77" width="11.81640625" style="4" bestFit="1" customWidth="1"/>
    <col min="78" max="78" width="16.453125" style="4" bestFit="1" customWidth="1"/>
    <col min="79" max="79" width="17.453125" style="4" bestFit="1" customWidth="1"/>
    <col min="80" max="80" width="13.1796875" style="4" bestFit="1" customWidth="1"/>
    <col min="81" max="83" width="12.81640625" style="4" bestFit="1" customWidth="1"/>
    <col min="84" max="84" width="8.81640625" style="4" bestFit="1" customWidth="1"/>
    <col min="85" max="85" width="9" style="4" bestFit="1" customWidth="1"/>
    <col min="86" max="86" width="9.54296875" style="4" bestFit="1" customWidth="1"/>
    <col min="87" max="87" width="28.1796875" style="4" bestFit="1" customWidth="1"/>
    <col min="88" max="88" width="16.81640625" style="4" bestFit="1" customWidth="1"/>
    <col min="89" max="89" width="11.81640625" style="4" bestFit="1" customWidth="1"/>
    <col min="90" max="90" width="9.1796875" style="4" bestFit="1" customWidth="1"/>
    <col min="91" max="91" width="14" style="4" bestFit="1" customWidth="1"/>
    <col min="92" max="92" width="15.81640625" style="4" bestFit="1" customWidth="1"/>
    <col min="93" max="93" width="26" style="4" bestFit="1" customWidth="1"/>
    <col min="94" max="94" width="17.81640625" style="4" bestFit="1" customWidth="1"/>
    <col min="95" max="95" width="17.1796875" style="4" bestFit="1" customWidth="1"/>
    <col min="96" max="96" width="28" style="4" bestFit="1" customWidth="1"/>
    <col min="97" max="97" width="12" style="4" bestFit="1" customWidth="1"/>
    <col min="98" max="98" width="15.453125" style="4" bestFit="1" customWidth="1"/>
    <col min="99" max="99" width="26.1796875" style="4" bestFit="1" customWidth="1"/>
    <col min="100" max="100" width="17.453125" style="4" bestFit="1" customWidth="1"/>
    <col min="101" max="101" width="19.54296875" style="4" bestFit="1" customWidth="1"/>
    <col min="102" max="102" width="23" style="4" bestFit="1" customWidth="1"/>
    <col min="103" max="103" width="18.81640625" style="4" bestFit="1" customWidth="1"/>
    <col min="104" max="104" width="20.81640625" style="4" bestFit="1" customWidth="1"/>
    <col min="105" max="105" width="14.81640625" style="4" bestFit="1" customWidth="1"/>
    <col min="106" max="106" width="18.54296875" style="4" bestFit="1" customWidth="1"/>
    <col min="107" max="107" width="12.1796875" style="4" bestFit="1" customWidth="1"/>
    <col min="108" max="108" width="16.1796875" style="4" bestFit="1" customWidth="1"/>
    <col min="109" max="109" width="12.81640625" style="4" bestFit="1" customWidth="1"/>
    <col min="110" max="110" width="19.81640625" style="4" bestFit="1" customWidth="1"/>
    <col min="111" max="111" width="15.54296875" style="4" bestFit="1" customWidth="1"/>
    <col min="112" max="112" width="12.81640625" style="4" bestFit="1" customWidth="1"/>
    <col min="113" max="113" width="10" style="4" bestFit="1" customWidth="1"/>
    <col min="114" max="114" width="17.81640625" style="4" bestFit="1" customWidth="1"/>
    <col min="115" max="115" width="19.81640625" style="4" bestFit="1" customWidth="1"/>
    <col min="116" max="116" width="12.453125" style="4" bestFit="1" customWidth="1"/>
    <col min="117" max="117" width="11.1796875" style="4" bestFit="1" customWidth="1"/>
    <col min="118" max="118" width="14.81640625" style="4" bestFit="1" customWidth="1"/>
    <col min="119" max="119" width="23.1796875" style="4" bestFit="1" customWidth="1"/>
    <col min="120" max="120" width="11.54296875" style="4" bestFit="1" customWidth="1"/>
    <col min="121" max="121" width="12.81640625" style="4" bestFit="1" customWidth="1"/>
    <col min="122" max="122" width="25.1796875" style="4" bestFit="1" customWidth="1"/>
    <col min="123" max="123" width="11" style="4" bestFit="1" customWidth="1"/>
    <col min="124" max="124" width="15.1796875" style="4" bestFit="1" customWidth="1"/>
    <col min="125" max="125" width="19.81640625" style="4" bestFit="1" customWidth="1"/>
    <col min="126" max="127" width="11.81640625" style="4" bestFit="1" customWidth="1"/>
    <col min="128" max="128" width="12.81640625" style="4" bestFit="1" customWidth="1"/>
    <col min="129" max="129" width="14.453125" style="4" bestFit="1" customWidth="1"/>
    <col min="130" max="130" width="14.54296875" style="4" bestFit="1" customWidth="1"/>
    <col min="131" max="131" width="19" style="4" bestFit="1" customWidth="1"/>
    <col min="132" max="132" width="14" style="4" bestFit="1" customWidth="1"/>
    <col min="133" max="133" width="16" style="4" bestFit="1" customWidth="1"/>
    <col min="134" max="134" width="10.54296875" style="4" bestFit="1" customWidth="1"/>
    <col min="135" max="16384" width="8.90625" style="4"/>
  </cols>
  <sheetData>
    <row r="1" spans="1:134" x14ac:dyDescent="0.35">
      <c r="A1" s="4" t="e">
        <f>VLOOKUP(A3,Sheet2!$A$1:$A$135,1,FALSE)</f>
        <v>#N/A</v>
      </c>
      <c r="B1" s="10" t="str">
        <f>IFERROR(VLOOKUP(B3,Sheet2!$A$1:$A$135,1,FALSE),"Ignore Field")</f>
        <v>AgentName</v>
      </c>
      <c r="C1" s="10" t="str">
        <f>IFERROR(VLOOKUP(C3,Sheet2!$A$1:$A$135,1,FALSE),"Ignore Field")</f>
        <v>BusinessName</v>
      </c>
      <c r="D1" s="10" t="str">
        <f>IFERROR(VLOOKUP(D3,Sheet2!$A$1:$A$135,1,FALSE),"Ignore Field")</f>
        <v>FirstName</v>
      </c>
      <c r="E1" s="10" t="str">
        <f>IFERROR(VLOOKUP(E3,Sheet2!$A$1:$A$135,1,FALSE),"Ignore Field")</f>
        <v>MiddleName</v>
      </c>
      <c r="F1" s="10" t="str">
        <f>IFERROR(VLOOKUP(F3,Sheet2!$A$1:$A$135,1,FALSE),"Ignore Field")</f>
        <v>LastName</v>
      </c>
      <c r="G1" s="10" t="str">
        <f>IFERROR(VLOOKUP(G3,Sheet2!$A$1:$A$135,1,FALSE),"Ignore Field")</f>
        <v>Prefix</v>
      </c>
      <c r="H1" s="10" t="str">
        <f>IFERROR(VLOOKUP(H3,Sheet2!$A$1:$A$135,1,FALSE),"Ignore Field")</f>
        <v>Suffix</v>
      </c>
      <c r="I1" s="10" t="str">
        <f>IFERROR(VLOOKUP(I3,Sheet2!$A$1:$A$135,1,FALSE),"Ignore Field")</f>
        <v>DoB</v>
      </c>
      <c r="J1" s="10" t="str">
        <f>IFERROR(VLOOKUP(J3,Sheet2!$A$1:$A$135,1,FALSE),"Ignore Field")</f>
        <v>Nationality</v>
      </c>
      <c r="K1" s="10" t="str">
        <f>IFERROR(VLOOKUP(K3,Sheet2!$A$1:$A$135,1,FALSE),"Ignore Field")</f>
        <v>PreferredLanguage</v>
      </c>
      <c r="L1" s="4" t="s">
        <v>405</v>
      </c>
      <c r="M1" s="4" t="s">
        <v>405</v>
      </c>
      <c r="N1" s="4" t="s">
        <v>405</v>
      </c>
      <c r="O1" s="4" t="str">
        <f>IFERROR(VLOOKUP(O3,Sheet2!$A$1:$A$135,1,FALSE),"Ignore Field")</f>
        <v>AgentLevel</v>
      </c>
      <c r="P1" s="4" t="str">
        <f>IFERROR(VLOOKUP(P3,Sheet2!$A$1:$A$135,1,FALSE),"Ignore Field")</f>
        <v>StaffCode</v>
      </c>
      <c r="Q1" s="10" t="str">
        <f>IFERROR(VLOOKUP(Q3,Sheet2!$A$1:$A$135,1,FALSE),"Ignore Field")</f>
        <v>Supervisor_Code</v>
      </c>
      <c r="R1" s="4" t="str">
        <f>IFERROR(VLOOKUP(R3,Sheet2!$A$1:$A$135,1,FALSE),"Ignore Field")</f>
        <v>ContractedDate</v>
      </c>
      <c r="S1" s="4" t="str">
        <f>IFERROR(VLOOKUP(S3,Sheet2!$A$1:$A$135,1,FALSE),"Ignore Field")</f>
        <v>AgentStatusCode</v>
      </c>
      <c r="T1" s="4" t="str">
        <f>IFERROR(VLOOKUP(T3,Sheet2!$A$1:$A$135,1,FALSE),"Ignore Field")</f>
        <v>StatusDate</v>
      </c>
      <c r="U1" s="10" t="str">
        <f>IFERROR(VLOOKUP(U3,Sheet2!$A$1:$A$135,1,FALSE),"Ignore Field")</f>
        <v>IsLicensed</v>
      </c>
      <c r="V1" s="10" t="str">
        <f>IFERROR(VLOOKUP(V3,Sheet2!$A$1:$A$135,1,FALSE),"Ignore Field")</f>
        <v>MaskedPanNumber</v>
      </c>
      <c r="W1" s="10" t="str">
        <f>IFERROR(VLOOKUP(W3,Sheet2!$A$1:$A$135,1,FALSE),"Ignore Field")</f>
        <v>AadhaarNumber</v>
      </c>
      <c r="X1" s="10" t="str">
        <f>IFERROR(VLOOKUP(X3,Sheet2!$A$1:$A$135,1,FALSE),"Ignore Field")</f>
        <v>IrdaLicenseNumber</v>
      </c>
      <c r="Y1" s="10" t="str">
        <f>IFERROR(VLOOKUP(Y3,Sheet2!$A$1:$A$135,1,FALSE),"Ignore Field")</f>
        <v>GstNumber</v>
      </c>
      <c r="Z1" s="4" t="str">
        <f>IFERROR(VLOOKUP(Z3,Sheet2!$A$1:$A$135,1,FALSE),"Ignore Field")</f>
        <v>CreatedBy</v>
      </c>
      <c r="AA1" s="4" t="str">
        <f>IFERROR(VLOOKUP(AA3,Sheet2!$A$1:$A$135,1,FALSE),"Ignore Field")</f>
        <v>CreatedDate</v>
      </c>
      <c r="AB1" s="4" t="str">
        <f>IFERROR(VLOOKUP(AB3,Sheet2!$A$1:$A$135,1,FALSE),"Ignore Field")</f>
        <v>RowVersion</v>
      </c>
      <c r="AC1" s="4" t="str">
        <f>IFERROR(VLOOKUP(AC3,Sheet2!$A$1:$A$135,1,FALSE),"Ignore Field")</f>
        <v>IsActive</v>
      </c>
      <c r="AD1" s="10" t="str">
        <f>IFERROR(VLOOKUP(AD3,Sheet2!$A$1:$A$135,1,FALSE),"Ignore Field")</f>
        <v>ApplicationDocketNo</v>
      </c>
      <c r="AE1" s="10" t="str">
        <f>IFERROR(VLOOKUP(AE3,Sheet2!$A$1:$A$135,1,FALSE),"Ignore Field")</f>
        <v>Father_Husband_Nm</v>
      </c>
      <c r="AF1" s="4" t="str">
        <f>IFERROR(VLOOKUP(AF3,Sheet2!$A$1:$A$135,1,FALSE),"Ignore Field")</f>
        <v>EmployeeCode</v>
      </c>
      <c r="AG1" s="4" t="str">
        <f>IFERROR(VLOOKUP(AG3,Sheet2!$A$1:$A$135,1,FALSE),"Ignore Field")</f>
        <v>StartDate</v>
      </c>
      <c r="AH1" s="10" t="str">
        <f>IFERROR(VLOOKUP(AH3,Sheet2!$A$1:$A$135,1,FALSE),"Ignore Field")</f>
        <v>PanAadharLinkFlag</v>
      </c>
      <c r="AI1" s="10" t="str">
        <f>IFERROR(VLOOKUP(AI3,Sheet2!$A$1:$A$135,1,FALSE),"Ignore Field")</f>
        <v>Sec206abFlag</v>
      </c>
      <c r="AJ1" s="4" t="str">
        <f>IFERROR(VLOOKUP(AJ3,Sheet2!$A$1:$A$135,1,FALSE),"Ignore Field")</f>
        <v>PackageID</v>
      </c>
      <c r="AK1" s="10" t="str">
        <f>IFERROR(VLOOKUP(AK3,Sheet2!$A$1:$A$135,1,FALSE),"Ignore Field")</f>
        <v>TaxStatus</v>
      </c>
      <c r="AL1" s="4" t="str">
        <f>IFERROR(VLOOKUP(AL3,Sheet2!$A$1:$A$135,1,FALSE),"Ignore Field")</f>
        <v>StateEid</v>
      </c>
      <c r="AM1" s="4" t="str">
        <f>IFERROR(VLOOKUP(AM3,Sheet2!$A$1:$A$135,1,FALSE),"Ignore Field")</f>
        <v>Ignore Field</v>
      </c>
      <c r="AN1" s="4" t="str">
        <f>IFERROR(VLOOKUP(AN3,Sheet2!$A$1:$A$135,1,FALSE),"Ignore Field")</f>
        <v>URN</v>
      </c>
      <c r="AO1" s="4" t="str">
        <f>IFERROR(VLOOKUP(AO3,Sheet2!$A$1:$A$135,1,FALSE),"Ignore Field")</f>
        <v>AdditionalComment</v>
      </c>
      <c r="AP1" s="10" t="str">
        <f>IFERROR(VLOOKUP(AP3,Sheet2!$A$1:$A$135,1,FALSE),"Ignore Field")</f>
        <v>AppointmentDate</v>
      </c>
      <c r="AQ1" s="10" t="str">
        <f>IFERROR(VLOOKUP(AQ3,Sheet2!$A$1:$A$135,1,FALSE),"Ignore Field")</f>
        <v>IncorporationDate</v>
      </c>
      <c r="AR1" s="10" t="str">
        <f>IFERROR(VLOOKUP(AR3,Sheet2!$A$1:$A$135,1,FALSE),"Ignore Field")</f>
        <v>CnctPersonDesig</v>
      </c>
      <c r="AS1" s="10" t="str">
        <f>IFERROR(VLOOKUP(AS3,Sheet2!$A$1:$A$135,1,FALSE),"Ignore Field")</f>
        <v>CnctPersonMobileNo</v>
      </c>
      <c r="AT1" s="10" t="str">
        <f>IFERROR(VLOOKUP(AT3,Sheet2!$A$1:$A$135,1,FALSE),"Ignore Field")</f>
        <v>CnctPersonEmail</v>
      </c>
      <c r="AU1" s="10" t="str">
        <f>IFERROR(VLOOKUP(AU3,Sheet2!$A$1:$A$135,1,FALSE),"Ignore Field")</f>
        <v>CnctPersonName</v>
      </c>
      <c r="AV1" s="4" t="str">
        <f>IFERROR(VLOOKUP(AV3,Sheet2!$A$1:$A$135,1,FALSE),"Ignore Field")</f>
        <v>CMSAgentType</v>
      </c>
      <c r="AW1" s="4" t="str">
        <f>IFERROR(VLOOKUP(AW3,Sheet2!$A$1:$A$135,1,FALSE),"Ignore Field")</f>
        <v>ServiceTaxNo</v>
      </c>
      <c r="AX1" s="10" t="str">
        <f>IFERROR(VLOOKUP(AX3,Sheet2!$A$1:$A$135,1,FALSE),"Ignore Field")</f>
        <v>UlipFlag</v>
      </c>
      <c r="AY1" s="11" t="str">
        <f>IFERROR(VLOOKUP(AY3,Sheet2!$A$1:$A$135,1,FALSE),"Ignore Field")</f>
        <v>TrainingGroupType</v>
      </c>
      <c r="AZ1" s="4" t="str">
        <f>IFERROR(VLOOKUP(AZ3,Sheet2!$A$1:$A$135,1,FALSE),"Ignore Field")</f>
        <v>Ifs</v>
      </c>
      <c r="BA1" s="10" t="str">
        <f>IFERROR(VLOOKUP(BA3,Sheet2!$A$1:$A$135,1,FALSE),"Ignore Field")</f>
        <v>RefresherTrainingCompleted</v>
      </c>
      <c r="BB1" s="11" t="str">
        <f>IFERROR(VLOOKUP(BB3,Sheet2!$A$1:$A$135,1,FALSE),"Ignore Field")</f>
        <v>IsMigrated</v>
      </c>
      <c r="BC1" s="4" t="str">
        <f>IFERROR(VLOOKUP(BC3,Sheet2!$A$1:$A$135,1,FALSE),"Ignore Field")</f>
        <v>MainPartnerClientCode</v>
      </c>
      <c r="BD1" s="4" t="str">
        <f>IFERROR(VLOOKUP(BD3,Sheet2!$A$1:$A$135,1,FALSE),"Ignore Field")</f>
        <v>AgentMainCodeVWEid</v>
      </c>
      <c r="BE1" s="4" t="str">
        <f>IFERROR(VLOOKUP(BE3,Sheet2!$A$1:$A$135,1,FALSE),"Ignore Field")</f>
        <v>RegistrationDate</v>
      </c>
      <c r="BF1" s="11" t="str">
        <f>IFERROR(VLOOKUP(BF3,Sheet2!$A$1:$A$135,1,FALSE),"Ignore Field")</f>
        <v>Vertical</v>
      </c>
      <c r="BG1" s="10" t="str">
        <f>IFERROR(VLOOKUP(BG3,Sheet2!$A$1:$A$135,1,FALSE),"Ignore Field")</f>
        <v>BranchCode</v>
      </c>
      <c r="BH1" s="10" t="str">
        <f>IFERROR(VLOOKUP(BH3,Sheet2!$A$1:$A$135,1,FALSE),"Ignore Field")</f>
        <v>BranchName</v>
      </c>
      <c r="BI1" s="10" t="str">
        <f>IFERROR(VLOOKUP(BI3,Sheet2!$A$1:$A$135,1,FALSE),"Ignore Field")</f>
        <v>IC36TrngCompletionDate</v>
      </c>
      <c r="BJ1" s="11" t="str">
        <f>IFERROR(VLOOKUP(BJ3,Sheet2!$A$1:$A$135,1,FALSE),"Ignore Field")</f>
        <v>STrngCompletionDate</v>
      </c>
      <c r="BK1" s="11" t="str">
        <f>IFERROR(VLOOKUP(BK3,Sheet2!$A$1:$A$135,1,FALSE),"Ignore Field")</f>
        <v>ConfirmationDate</v>
      </c>
      <c r="BL1" s="11" t="str">
        <f>IFERROR(VLOOKUP(BL3,Sheet2!$A$1:$A$135,1,FALSE),"Ignore Field")</f>
        <v>FgRockStarTrainingDate</v>
      </c>
      <c r="BM1" s="10" t="str">
        <f>IFERROR(VLOOKUP(BM3,Sheet2!$A$1:$A$135,1,FALSE),"Ignore Field")</f>
        <v>IncrementDate</v>
      </c>
      <c r="BN1" s="10" t="str">
        <f>IFERROR(VLOOKUP(BN3,Sheet2!$A$1:$A$135,1,FALSE),"Ignore Field")</f>
        <v>LastPromotionDate</v>
      </c>
      <c r="BO1" s="10" t="str">
        <f>IFERROR(VLOOKUP(BO3,Sheet2!$A$1:$A$135,1,FALSE),"Ignore Field")</f>
        <v>HRDoj</v>
      </c>
      <c r="BP1" s="11" t="str">
        <f ca="1">IFERROR(BN11VLOOKUP(BP3,Sheet2!$A$1:$A$135,1,FALSE),"Ignore Field")</f>
        <v>Ignore Field</v>
      </c>
      <c r="BQ1" s="11" t="str">
        <f>IFERROR(VLOOKUP(BQ3,Sheet2!$A$1:$A$135,1,FALSE),"Ignore Field")</f>
        <v>HSecPolicyTrngDate</v>
      </c>
      <c r="BR1" s="11" t="str">
        <f>IFERROR(VLOOKUP(BR3,Sheet2!$A$1:$A$135,1,FALSE),"Ignore Field")</f>
        <v>ITSecPolicyTrngDate</v>
      </c>
      <c r="BS1" s="11" t="str">
        <f>IFERROR(VLOOKUP(BS3,Sheet2!$A$1:$A$135,1,FALSE),"Ignore Field")</f>
        <v>NPSTrngCompletionDate</v>
      </c>
      <c r="BT1" s="11" t="str">
        <f>IFERROR(VLOOKUP(BT3,Sheet2!$A$1:$A$135,1,FALSE),"Ignore Field")</f>
        <v>WhistleBlowerTrngDate</v>
      </c>
      <c r="BU1" s="11" t="str">
        <f>IFERROR(VLOOKUP(BU3,Sheet2!$A$1:$A$135,1,FALSE),"Ignore Field")</f>
        <v>GovPolicyTrngDate</v>
      </c>
      <c r="BV1" s="11" t="str">
        <f>IFERROR(VLOOKUP(BV3,Sheet2!$A$1:$A$135,1,FALSE),"Ignore Field")</f>
        <v>InductionTrngDate</v>
      </c>
      <c r="BW1" s="11" t="str">
        <f>IFERROR(VLOOKUP(BW3,Sheet2!$A$1:$A$135,1,FALSE),"Ignore Field")</f>
        <v>LastWorkingDate</v>
      </c>
      <c r="BX1" s="11" t="str">
        <f>IFERROR(VLOOKUP(BX3,Sheet2!$A$1:$A$135,1,FALSE),"Ignore Field")</f>
        <v>LicenseNo</v>
      </c>
      <c r="BY1" s="11" t="str">
        <f>IFERROR(VLOOKUP(BY3,Sheet2!$A$1:$A$135,1,FALSE),"Ignore Field")</f>
        <v>LicenseType</v>
      </c>
      <c r="BZ1" s="11" t="str">
        <f>IFERROR(VLOOKUP(BZ3,Sheet2!$A$1:$A$135,1,FALSE),"Ignore Field")</f>
        <v>LicenseIssueDate</v>
      </c>
      <c r="CA1" s="11" t="str">
        <f>IFERROR(VLOOKUP(CA3,Sheet2!$A$1:$A$135,1,FALSE),"Ignore Field")</f>
        <v>LicenseExpiryDate</v>
      </c>
      <c r="CB1" s="11" t="str">
        <f>IFERROR(VLOOKUP(CB3,Sheet2!$A$1:$A$135,1,FALSE),"Ignore Field")</f>
        <v>LicenseStatus</v>
      </c>
      <c r="CC1" s="10" t="str">
        <f>IFERROR(VLOOKUP(CC3,Sheet2!$A$1:$A$135,1,FALSE),"Ignore Field")</f>
        <v>AddressLine1</v>
      </c>
      <c r="CD1" s="10" t="str">
        <f>IFERROR(VLOOKUP(CD3,Sheet2!$A$1:$A$135,1,FALSE),"Ignore Field")</f>
        <v>AddressLine2</v>
      </c>
      <c r="CE1" s="10" t="str">
        <f>IFERROR(VLOOKUP(CE3,Sheet2!$A$1:$A$135,1,FALSE),"Ignore Field")</f>
        <v>AddressLine3</v>
      </c>
      <c r="CF1" s="10" t="str">
        <f>IFERROR(VLOOKUP(CF3,Sheet2!$A$1:$A$135,1,FALSE),"Ignore Field")</f>
        <v>City</v>
      </c>
      <c r="CG1" s="10" t="str">
        <f>IFERROR(VLOOKUP(CG3,Sheet2!$A$1:$A$135,1,FALSE),"Ignore Field")</f>
        <v>Pin</v>
      </c>
      <c r="CH1" s="10" t="str">
        <f>IFERROR(VLOOKUP(CH3,Sheet2!$A$1:$A$135,1,FALSE),"Ignore Field")</f>
        <v>Landmark</v>
      </c>
      <c r="CI1" s="11" t="str">
        <f>IFERROR(VLOOKUP(CI3,Sheet2!$A$1:$A$135,1,FALSE),"Ignore Field")</f>
        <v>AgentClassDesc</v>
      </c>
      <c r="CJ1" s="10" t="str">
        <f>IFERROR(VLOOKUP(CJ3,Sheet2!$A$1:$A$135,1,FALSE),"Ignore Field")</f>
        <v>BankAccTypeDesc</v>
      </c>
      <c r="CK1" s="10" t="str">
        <f>IFERROR(VLOOKUP(CK3,Sheet2!$A$1:$A$135,1,FALSE),"Ignore Field")</f>
        <v>GenderDesc</v>
      </c>
      <c r="CL1" s="10" t="str">
        <f>IFERROR(VLOOKUP(CL3,Sheet2!$A$1:$A$135,1,FALSE),"Ignore Field")</f>
        <v>TitleDesc</v>
      </c>
      <c r="CM1" s="10" t="str">
        <f>IFERROR(VLOOKUP(CM3,Sheet2!$A$1:$A$135,1,FALSE),"Ignore Field")</f>
        <v>ChannelDesc</v>
      </c>
      <c r="CN1" s="10" t="str">
        <f>IFERROR(VLOOKUP(CN3,Sheet2!$A$1:$A$135,1,FALSE),"Ignore Field")</f>
        <v>SubChannelDesc</v>
      </c>
      <c r="CO1" s="10" t="str">
        <f>IFERROR(VLOOKUP(CO3,Sheet2!$A$1:$A$135,1,FALSE),"Ignore Field")</f>
        <v>OccupationDesc</v>
      </c>
      <c r="CP1" s="10" t="str">
        <f>IFERROR(VLOOKUP(CP3,Sheet2!$A$1:$A$135,1,FALSE),"Ignore Field")</f>
        <v>AgentTypeCatDesc</v>
      </c>
      <c r="CQ1" s="10" t="str">
        <f>IFERROR(VLOOKUP(CQ3,Sheet2!$A$1:$A$135,1,FALSE),"Ignore Field")</f>
        <v>MaritalStatusDesc</v>
      </c>
      <c r="CR1" s="10" t="str">
        <f>IFERROR(VLOOKUP(CR3,Sheet2!$A$1:$A$135,1,FALSE),"Ignore Field")</f>
        <v>EducationDesc</v>
      </c>
      <c r="CS1" s="10" t="str">
        <f>IFERROR(VLOOKUP(CS3,Sheet2!$A$1:$A$135,1,FALSE),"Ignore Field")</f>
        <v>StateDesc</v>
      </c>
      <c r="CT1" s="10" t="str">
        <f>IFERROR(VLOOKUP(CT3,Sheet2!$A$1:$A$135,1,FALSE),"Ignore Field")</f>
        <v>CountryDesc</v>
      </c>
      <c r="CU1" s="10" t="s">
        <v>405</v>
      </c>
      <c r="CV1" s="10" t="s">
        <v>405</v>
      </c>
      <c r="CW1" s="11" t="str">
        <f>IFERROR(VLOOKUP(CW3,Sheet2!$A$1:$A$135,1,FALSE),"Ignore Field")</f>
        <v>AgentTypeCodeDesc</v>
      </c>
      <c r="CX1" s="11" t="str">
        <f>IFERROR(VLOOKUP(CX3,Sheet2!$A$1:$A$135,1,FALSE),"Ignore Field")</f>
        <v>AgentSubTypeCodeDesc</v>
      </c>
      <c r="CY1" s="11" t="str">
        <f>IFERROR(VLOOKUP(CY3,Sheet2!$A$1:$A$135,1,FALSE),"Ignore Field")</f>
        <v>CandidateTypeDesc</v>
      </c>
      <c r="CZ1" s="11" t="str">
        <f>IFERROR(VLOOKUP(CZ3,Sheet2!$A$1:$A$135,1,FALSE),"Ignore Field")</f>
        <v>CommissionClassDesc</v>
      </c>
      <c r="DA1" s="11" t="str">
        <f>IFERROR(VLOOKUP(DA3,Sheet2!$A$1:$A$135,1,FALSE),"Ignore Field")</f>
        <v>AgentTypeDesc</v>
      </c>
      <c r="DB1" s="11" t="str">
        <f>IFERROR(VLOOKUP(DB3,Sheet2!$A$1:$A$135,1,FALSE),"Ignore Field")</f>
        <v>NomineeName</v>
      </c>
      <c r="DC1" s="10" t="str">
        <f>IFERROR(VLOOKUP(DC3,Sheet2!$A$1:$A$135,1,FALSE),"Ignore Field")</f>
        <v>Relationship</v>
      </c>
      <c r="DD1" s="10" t="str">
        <f>IFERROR(VLOOKUP(DD3,Sheet2!$A$1:$A$135,1,FALSE),"Ignore Field")</f>
        <v>PercentageShare</v>
      </c>
      <c r="DE1" s="10" t="str">
        <f>IFERROR(VLOOKUP(DE3,Sheet2!$A$1:$A$135,1,FALSE),"Ignore Field")</f>
        <v>NomineeAge</v>
      </c>
      <c r="DF1" s="10" t="str">
        <f>IFERROR(VLOOKUP(DF3,Sheet2!$A$1:$A$135,1,FALSE),"Ignore Field")</f>
        <v>AccountHolderName</v>
      </c>
      <c r="DG1" s="10" t="str">
        <f>IFERROR(VLOOKUP(DG3,Sheet2!$A$1:$A$135,1,FALSE),"Ignore Field")</f>
        <v>AccountNumber</v>
      </c>
      <c r="DH1" s="10" t="str">
        <f>IFERROR(VLOOKUP(DH3,Sheet2!$A$1:$A$135,1,FALSE),"Ignore Field")</f>
        <v>IFSC</v>
      </c>
      <c r="DI1" s="10" t="str">
        <f>IFERROR(VLOOKUP(DI3,Sheet2!$A$1:$A$135,1,FALSE),"Ignore Field")</f>
        <v>MICR</v>
      </c>
      <c r="DJ1" s="10" t="str">
        <f>IFERROR(VLOOKUP(DJ3,Sheet2!$A$1:$A$135,1,FALSE),"Ignore Field")</f>
        <v>BankName</v>
      </c>
      <c r="DK1" s="10" t="str">
        <f>IFERROR(VLOOKUP(DK3,Sheet2!$A$1:$A$135,1,FALSE),"Ignore Field")</f>
        <v>BankAccBranchName</v>
      </c>
      <c r="DL1" s="4" t="str">
        <f>IFERROR(VLOOKUP(DL3,Sheet2!$A$1:$A$135,1,FALSE),"Ignore Field")</f>
        <v>AccountType</v>
      </c>
      <c r="DM1" s="4" t="str">
        <f>IFERROR(VLOOKUP(DM3,Sheet2!$A$1:$A$135,1,FALSE),"Ignore Field")</f>
        <v>ActiveSince</v>
      </c>
      <c r="DN1" s="10" t="str">
        <f>IFERROR(VLOOKUP(DN3,Sheet2!$A$1:$A$135,1,FALSE),"Ignore Field")</f>
        <v>FactoringHouse</v>
      </c>
      <c r="DO1" s="4" t="str">
        <f>IFERROR(VLOOKUP(DO3,Sheet2!$A$1:$A$135,1,FALSE),"Ignore Field")</f>
        <v>PreferredPaymentMode</v>
      </c>
      <c r="DP1" s="4" t="str">
        <f>IFERROR(VLOOKUP(DP3,Sheet2!$A$1:$A$135,1,FALSE),"Ignore Field")</f>
        <v>Ignore Field</v>
      </c>
      <c r="DQ1" s="10" t="str">
        <f>IFERROR(VLOOKUP(DQ3,Sheet2!$A$1:$A$135,1,FALSE),"Ignore Field")</f>
        <v>PanNumber</v>
      </c>
      <c r="DR1" s="10" t="str">
        <f>IFERROR(VLOOKUP(DR3,Sheet2!$A$1:$A$135,1,FALSE),"Ignore Field")</f>
        <v>Email</v>
      </c>
      <c r="DS1" s="10" t="str">
        <f>IFERROR(VLOOKUP(DS3,Sheet2!$A$1:$A$135,1,FALSE),"Ignore Field")</f>
        <v>MobileNo</v>
      </c>
      <c r="DT1" s="10" t="str">
        <f>IFERROR(VLOOKUP(DT3,Sheet2!$A$1:$A$135,1,FALSE),"Ignore Field")</f>
        <v>WorkContactNo</v>
      </c>
      <c r="DU1" s="10" t="str">
        <f>IFERROR(VLOOKUP(DU3,Sheet2!$A$1:$A$135,1,FALSE),"Ignore Field")</f>
        <v>ResidenceContactNo</v>
      </c>
      <c r="DV1" s="11" t="str">
        <f>IFERROR(VLOOKUP(DV3,Sheet2!$A$1:$A$135,1,FALSE),"Ignore Field")</f>
        <v>BloodGroup</v>
      </c>
      <c r="DW1" s="10" t="str">
        <f>IFERROR(VLOOKUP(DW3,Sheet2!$A$1:$A$135,1,FALSE),"Ignore Field")</f>
        <v>BirthPlace</v>
      </c>
      <c r="DX1" s="4" t="str">
        <f>IFERROR(VLOOKUP(DX3,Sheet2!$A$1:$A$135,1,FALSE),"Ignore Field")</f>
        <v>Ignore Field</v>
      </c>
      <c r="DY1" s="4" t="str">
        <f>IFERROR(VLOOKUP(DY3,Sheet2!$A$1:$A$135,1,FALSE),"Ignore Field")</f>
        <v>EducationCode</v>
      </c>
      <c r="DZ1" s="10" t="str">
        <f>IFERROR(VLOOKUP(DZ3,Sheet2!$A$1:$A$135,1,FALSE),"Ignore Field")</f>
        <v>EducationLevel</v>
      </c>
      <c r="EA1" s="10" t="str">
        <f>IFERROR(VLOOKUP(EA3,Sheet2!$A$1:$A$135,1,FALSE),"Ignore Field")</f>
        <v>WorkProfile</v>
      </c>
      <c r="EB1" s="10" t="str">
        <f>IFERROR(VLOOKUP(EB3,Sheet2!$A$1:$A$135,1,FALSE),"Ignore Field")</f>
        <v>AnnualIncome</v>
      </c>
      <c r="EC1" s="11" t="str">
        <f>IFERROR(VLOOKUP(EC3,Sheet2!$A$1:$A$135,1,FALSE),"Ignore Field")</f>
        <v>WorkExpMonths</v>
      </c>
      <c r="ED1" s="11" t="str">
        <f>IFERROR(VLOOKUP(ED3,Sheet2!$A$1:$A$135,1,FALSE),"Ignore Field")</f>
        <v>BranchDesc</v>
      </c>
    </row>
    <row r="2" spans="1:134" x14ac:dyDescent="0.35">
      <c r="I2" s="4"/>
    </row>
    <row r="3" spans="1:134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2" t="s">
        <v>164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92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165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  <c r="AF3" s="1" t="s">
        <v>28</v>
      </c>
      <c r="AG3" s="1" t="s">
        <v>29</v>
      </c>
      <c r="AH3" s="1" t="s">
        <v>30</v>
      </c>
      <c r="AI3" s="1" t="s">
        <v>31</v>
      </c>
      <c r="AJ3" s="1" t="s">
        <v>32</v>
      </c>
      <c r="AK3" s="1" t="s">
        <v>33</v>
      </c>
      <c r="AL3" s="1" t="s">
        <v>34</v>
      </c>
      <c r="AM3" s="1" t="s">
        <v>35</v>
      </c>
      <c r="AN3" s="1" t="s">
        <v>36</v>
      </c>
      <c r="AO3" s="1" t="s">
        <v>37</v>
      </c>
      <c r="AP3" s="1" t="s">
        <v>38</v>
      </c>
      <c r="AQ3" s="1" t="s">
        <v>39</v>
      </c>
      <c r="AR3" s="1" t="s">
        <v>40</v>
      </c>
      <c r="AS3" s="1" t="s">
        <v>41</v>
      </c>
      <c r="AT3" s="1" t="s">
        <v>42</v>
      </c>
      <c r="AU3" s="1" t="s">
        <v>43</v>
      </c>
      <c r="AV3" s="1" t="s">
        <v>44</v>
      </c>
      <c r="AW3" s="1" t="s">
        <v>45</v>
      </c>
      <c r="AX3" s="1" t="s">
        <v>46</v>
      </c>
      <c r="AY3" s="1" t="s">
        <v>47</v>
      </c>
      <c r="AZ3" s="1" t="s">
        <v>48</v>
      </c>
      <c r="BA3" s="1" t="s">
        <v>49</v>
      </c>
      <c r="BB3" s="1" t="s">
        <v>50</v>
      </c>
      <c r="BC3" s="1" t="s">
        <v>51</v>
      </c>
      <c r="BD3" s="1" t="s">
        <v>52</v>
      </c>
      <c r="BE3" s="1" t="s">
        <v>53</v>
      </c>
      <c r="BF3" s="1" t="s">
        <v>54</v>
      </c>
      <c r="BG3" s="1" t="s">
        <v>55</v>
      </c>
      <c r="BH3" s="1" t="s">
        <v>56</v>
      </c>
      <c r="BI3" s="1" t="s">
        <v>256</v>
      </c>
      <c r="BJ3" s="1" t="s">
        <v>57</v>
      </c>
      <c r="BK3" s="1" t="s">
        <v>58</v>
      </c>
      <c r="BL3" s="1" t="s">
        <v>257</v>
      </c>
      <c r="BM3" s="1" t="s">
        <v>59</v>
      </c>
      <c r="BN3" s="1" t="s">
        <v>60</v>
      </c>
      <c r="BO3" s="1" t="s">
        <v>61</v>
      </c>
      <c r="BP3" s="1" t="s">
        <v>62</v>
      </c>
      <c r="BQ3" s="1" t="s">
        <v>63</v>
      </c>
      <c r="BR3" s="1" t="s">
        <v>258</v>
      </c>
      <c r="BS3" s="1" t="s">
        <v>259</v>
      </c>
      <c r="BT3" s="1" t="s">
        <v>64</v>
      </c>
      <c r="BU3" s="1" t="s">
        <v>65</v>
      </c>
      <c r="BV3" s="1" t="s">
        <v>66</v>
      </c>
      <c r="BW3" s="1" t="s">
        <v>67</v>
      </c>
      <c r="BX3" s="1" t="s">
        <v>68</v>
      </c>
      <c r="BY3" s="1" t="s">
        <v>69</v>
      </c>
      <c r="BZ3" s="1" t="s">
        <v>70</v>
      </c>
      <c r="CA3" s="1" t="s">
        <v>71</v>
      </c>
      <c r="CB3" s="1" t="s">
        <v>72</v>
      </c>
      <c r="CC3" s="3" t="s">
        <v>84</v>
      </c>
      <c r="CD3" s="3" t="s">
        <v>85</v>
      </c>
      <c r="CE3" s="3" t="s">
        <v>86</v>
      </c>
      <c r="CF3" s="3" t="s">
        <v>87</v>
      </c>
      <c r="CG3" s="3" t="s">
        <v>161</v>
      </c>
      <c r="CH3" s="3" t="s">
        <v>88</v>
      </c>
      <c r="CI3" s="3" t="s">
        <v>93</v>
      </c>
      <c r="CJ3" s="3" t="s">
        <v>94</v>
      </c>
      <c r="CK3" s="3" t="s">
        <v>95</v>
      </c>
      <c r="CL3" s="3" t="s">
        <v>96</v>
      </c>
      <c r="CM3" s="3" t="s">
        <v>97</v>
      </c>
      <c r="CN3" s="3" t="s">
        <v>98</v>
      </c>
      <c r="CO3" s="3" t="s">
        <v>99</v>
      </c>
      <c r="CP3" s="3" t="s">
        <v>100</v>
      </c>
      <c r="CQ3" s="3" t="s">
        <v>101</v>
      </c>
      <c r="CR3" s="3" t="s">
        <v>102</v>
      </c>
      <c r="CS3" s="3" t="s">
        <v>103</v>
      </c>
      <c r="CT3" s="3" t="s">
        <v>104</v>
      </c>
      <c r="CU3" s="3" t="s">
        <v>105</v>
      </c>
      <c r="CV3" s="3" t="s">
        <v>106</v>
      </c>
      <c r="CW3" s="3" t="s">
        <v>107</v>
      </c>
      <c r="CX3" s="3" t="s">
        <v>108</v>
      </c>
      <c r="CY3" s="3" t="s">
        <v>109</v>
      </c>
      <c r="CZ3" s="3" t="s">
        <v>110</v>
      </c>
      <c r="DA3" s="3" t="s">
        <v>111</v>
      </c>
      <c r="DB3" s="3" t="s">
        <v>125</v>
      </c>
      <c r="DC3" s="3" t="s">
        <v>126</v>
      </c>
      <c r="DD3" s="3" t="s">
        <v>127</v>
      </c>
      <c r="DE3" s="3" t="s">
        <v>128</v>
      </c>
      <c r="DF3" s="3" t="s">
        <v>130</v>
      </c>
      <c r="DG3" s="3" t="s">
        <v>131</v>
      </c>
      <c r="DH3" s="3" t="s">
        <v>132</v>
      </c>
      <c r="DI3" s="3" t="s">
        <v>133</v>
      </c>
      <c r="DJ3" s="3" t="s">
        <v>134</v>
      </c>
      <c r="DK3" s="3" t="s">
        <v>141</v>
      </c>
      <c r="DL3" s="3" t="s">
        <v>135</v>
      </c>
      <c r="DM3" s="3" t="s">
        <v>136</v>
      </c>
      <c r="DN3" s="3" t="s">
        <v>137</v>
      </c>
      <c r="DO3" s="3" t="s">
        <v>138</v>
      </c>
      <c r="DP3" s="3" t="s">
        <v>142</v>
      </c>
      <c r="DQ3" s="3" t="s">
        <v>143</v>
      </c>
      <c r="DR3" s="3" t="s">
        <v>144</v>
      </c>
      <c r="DS3" s="3" t="s">
        <v>145</v>
      </c>
      <c r="DT3" s="3" t="s">
        <v>146</v>
      </c>
      <c r="DU3" s="3" t="s">
        <v>147</v>
      </c>
      <c r="DV3" s="3" t="s">
        <v>148</v>
      </c>
      <c r="DW3" s="3" t="s">
        <v>149</v>
      </c>
      <c r="DX3" s="3" t="s">
        <v>150</v>
      </c>
      <c r="DY3" s="3" t="s">
        <v>151</v>
      </c>
      <c r="DZ3" s="3" t="s">
        <v>152</v>
      </c>
      <c r="EA3" s="3" t="s">
        <v>153</v>
      </c>
      <c r="EB3" s="3" t="s">
        <v>154</v>
      </c>
      <c r="EC3" s="3" t="s">
        <v>155</v>
      </c>
      <c r="ED3" s="3" t="s">
        <v>260</v>
      </c>
    </row>
    <row r="4" spans="1:134" x14ac:dyDescent="0.35">
      <c r="B4" s="4" t="s">
        <v>167</v>
      </c>
      <c r="C4" s="4" t="s">
        <v>167</v>
      </c>
      <c r="D4" s="4" t="s">
        <v>171</v>
      </c>
      <c r="E4" s="4" t="s">
        <v>179</v>
      </c>
      <c r="F4" s="4" t="s">
        <v>175</v>
      </c>
      <c r="G4" s="4" t="s">
        <v>73</v>
      </c>
      <c r="I4" s="5">
        <v>24796</v>
      </c>
      <c r="J4" s="4" t="s">
        <v>74</v>
      </c>
      <c r="K4" s="4" t="s">
        <v>75</v>
      </c>
      <c r="Q4" s="4" t="s">
        <v>269</v>
      </c>
      <c r="R4" s="5">
        <v>45373</v>
      </c>
      <c r="S4" s="4" t="s">
        <v>76</v>
      </c>
      <c r="T4" s="5">
        <v>46054</v>
      </c>
      <c r="U4" s="4" t="b">
        <v>1</v>
      </c>
      <c r="V4" s="4" t="s">
        <v>180</v>
      </c>
      <c r="W4" s="6">
        <v>810344529012</v>
      </c>
      <c r="X4" s="4" t="s">
        <v>184</v>
      </c>
      <c r="Y4" s="4" t="s">
        <v>188</v>
      </c>
      <c r="Z4" s="4" t="s">
        <v>77</v>
      </c>
      <c r="AA4" s="5">
        <v>46056</v>
      </c>
      <c r="AC4" s="4" t="b">
        <v>1</v>
      </c>
      <c r="AD4" s="4" t="s">
        <v>192</v>
      </c>
      <c r="AE4" s="4" t="s">
        <v>196</v>
      </c>
      <c r="AF4" s="4" t="s">
        <v>200</v>
      </c>
      <c r="AG4" s="5">
        <v>45028</v>
      </c>
      <c r="AH4" s="4" t="b">
        <v>1</v>
      </c>
      <c r="AI4" s="4" t="b">
        <v>1</v>
      </c>
      <c r="AK4" s="4" t="s">
        <v>78</v>
      </c>
      <c r="AL4" s="4" t="s">
        <v>79</v>
      </c>
      <c r="AM4" s="4">
        <v>1</v>
      </c>
      <c r="AN4" s="4" t="s">
        <v>204</v>
      </c>
      <c r="AO4" s="4" t="s">
        <v>80</v>
      </c>
      <c r="AP4" s="5">
        <v>46044</v>
      </c>
      <c r="AQ4" s="5">
        <v>44158</v>
      </c>
      <c r="AR4" s="4" t="s">
        <v>81</v>
      </c>
      <c r="AS4" s="7">
        <v>9847012345</v>
      </c>
      <c r="AT4" s="4" t="s">
        <v>208</v>
      </c>
      <c r="AU4" s="4" t="s">
        <v>212</v>
      </c>
      <c r="AV4" s="4" t="s">
        <v>216</v>
      </c>
      <c r="AW4" s="4" t="s">
        <v>220</v>
      </c>
      <c r="AX4" s="4" t="b">
        <v>0</v>
      </c>
      <c r="AY4" s="4" t="s">
        <v>163</v>
      </c>
      <c r="AZ4" s="4" t="s">
        <v>224</v>
      </c>
      <c r="BA4" s="4" t="b">
        <v>1</v>
      </c>
      <c r="BB4" s="4" t="b">
        <v>0</v>
      </c>
      <c r="BC4" s="4" t="s">
        <v>228</v>
      </c>
      <c r="BD4" s="4" t="s">
        <v>232</v>
      </c>
      <c r="BE4" s="5">
        <v>45716</v>
      </c>
      <c r="BF4" s="5" t="s">
        <v>261</v>
      </c>
      <c r="BG4" s="4" t="s">
        <v>82</v>
      </c>
      <c r="BH4" s="4" t="s">
        <v>83</v>
      </c>
      <c r="BI4" s="5">
        <v>44206</v>
      </c>
      <c r="BJ4" s="5">
        <v>44547</v>
      </c>
      <c r="BK4" s="5">
        <v>44871</v>
      </c>
      <c r="BL4" s="5">
        <v>45898</v>
      </c>
      <c r="BM4" s="5">
        <v>45420</v>
      </c>
      <c r="BN4" s="5">
        <v>44050</v>
      </c>
      <c r="BO4" s="5">
        <v>45716</v>
      </c>
      <c r="BP4" s="5">
        <v>45789</v>
      </c>
      <c r="BQ4" s="5">
        <v>45478</v>
      </c>
      <c r="BR4" s="5">
        <v>44157</v>
      </c>
      <c r="BS4" s="5">
        <v>45645</v>
      </c>
      <c r="BT4" s="5">
        <v>43864</v>
      </c>
      <c r="BU4" s="5">
        <v>44372</v>
      </c>
      <c r="BV4" s="5">
        <v>45079</v>
      </c>
      <c r="BW4" s="5">
        <v>45421</v>
      </c>
      <c r="BX4" s="4" t="s">
        <v>236</v>
      </c>
      <c r="BY4" s="4" t="s">
        <v>162</v>
      </c>
      <c r="BZ4" s="5">
        <v>45860</v>
      </c>
      <c r="CA4" s="5">
        <v>46231</v>
      </c>
      <c r="CB4" s="4" t="s">
        <v>76</v>
      </c>
      <c r="CC4" s="4" t="s">
        <v>241</v>
      </c>
      <c r="CD4" s="4" t="s">
        <v>242</v>
      </c>
      <c r="CE4" s="4" t="s">
        <v>243</v>
      </c>
      <c r="CF4" s="4" t="s">
        <v>240</v>
      </c>
      <c r="CG4" s="4">
        <v>400053</v>
      </c>
      <c r="CH4" s="4" t="s">
        <v>91</v>
      </c>
      <c r="CI4" s="4" t="s">
        <v>255</v>
      </c>
      <c r="CJ4" s="4" t="s">
        <v>112</v>
      </c>
      <c r="CK4" s="4" t="s">
        <v>114</v>
      </c>
      <c r="CL4" s="4" t="s">
        <v>113</v>
      </c>
      <c r="CM4" s="4" t="s">
        <v>262</v>
      </c>
      <c r="CO4" s="4" t="s">
        <v>115</v>
      </c>
      <c r="CP4" s="4" t="s">
        <v>116</v>
      </c>
      <c r="CQ4" s="4" t="s">
        <v>117</v>
      </c>
      <c r="CR4" s="4" t="s">
        <v>118</v>
      </c>
      <c r="CS4" s="4" t="s">
        <v>119</v>
      </c>
      <c r="CT4" s="4" t="s">
        <v>90</v>
      </c>
      <c r="CU4" s="4" t="s">
        <v>263</v>
      </c>
      <c r="CV4" s="4" t="s">
        <v>264</v>
      </c>
      <c r="CW4" s="8" t="s">
        <v>123</v>
      </c>
      <c r="CX4" s="8" t="s">
        <v>124</v>
      </c>
      <c r="CY4" s="4" t="s">
        <v>120</v>
      </c>
      <c r="CZ4" s="4" t="s">
        <v>122</v>
      </c>
      <c r="DA4" s="4" t="s">
        <v>121</v>
      </c>
      <c r="DB4" s="4" t="s">
        <v>253</v>
      </c>
      <c r="DC4" s="4" t="s">
        <v>129</v>
      </c>
      <c r="DD4" s="4">
        <v>10</v>
      </c>
      <c r="DE4" s="4">
        <v>32</v>
      </c>
      <c r="DF4" s="4" t="s">
        <v>166</v>
      </c>
      <c r="DG4" s="4">
        <v>829104573612</v>
      </c>
      <c r="DH4" s="4" t="s">
        <v>254</v>
      </c>
      <c r="DI4" s="4">
        <v>500001004</v>
      </c>
      <c r="DJ4" s="4" t="s">
        <v>139</v>
      </c>
      <c r="DK4" s="4" t="s">
        <v>89</v>
      </c>
      <c r="DL4" s="4">
        <v>2</v>
      </c>
      <c r="DM4" s="9">
        <v>43911</v>
      </c>
      <c r="DN4" s="4" t="s">
        <v>140</v>
      </c>
      <c r="DO4" s="4">
        <v>1</v>
      </c>
      <c r="DP4" s="9">
        <v>32343</v>
      </c>
      <c r="DQ4" s="4" t="s">
        <v>158</v>
      </c>
      <c r="DR4" s="4" t="s">
        <v>159</v>
      </c>
      <c r="DS4" s="4">
        <v>9988776657</v>
      </c>
      <c r="DT4" s="4">
        <v>4060001234</v>
      </c>
      <c r="DU4" s="4">
        <v>4060004321</v>
      </c>
      <c r="DV4" s="4" t="s">
        <v>160</v>
      </c>
      <c r="DW4" s="4" t="s">
        <v>89</v>
      </c>
      <c r="DX4" s="4">
        <v>2</v>
      </c>
      <c r="DY4" s="4">
        <v>5</v>
      </c>
      <c r="DZ4" s="4" t="s">
        <v>156</v>
      </c>
      <c r="EA4" s="4" t="s">
        <v>157</v>
      </c>
      <c r="EB4" s="4">
        <v>1200000</v>
      </c>
      <c r="EC4" s="4">
        <v>156</v>
      </c>
      <c r="ED4" s="4" t="s">
        <v>266</v>
      </c>
    </row>
    <row r="5" spans="1:134" x14ac:dyDescent="0.35">
      <c r="B5" s="4" t="s">
        <v>168</v>
      </c>
      <c r="C5" s="4" t="s">
        <v>168</v>
      </c>
      <c r="D5" s="4" t="s">
        <v>172</v>
      </c>
      <c r="F5" s="4" t="s">
        <v>176</v>
      </c>
      <c r="G5" s="4" t="s">
        <v>73</v>
      </c>
      <c r="I5" s="5">
        <v>18115</v>
      </c>
      <c r="J5" s="4" t="s">
        <v>74</v>
      </c>
      <c r="K5" s="4" t="s">
        <v>75</v>
      </c>
      <c r="Q5" s="4" t="s">
        <v>269</v>
      </c>
      <c r="R5" s="5">
        <v>44136</v>
      </c>
      <c r="S5" s="4" t="s">
        <v>76</v>
      </c>
      <c r="T5" s="5">
        <v>46054</v>
      </c>
      <c r="U5" s="4" t="b">
        <v>1</v>
      </c>
      <c r="V5" s="4" t="s">
        <v>181</v>
      </c>
      <c r="W5" s="6">
        <v>456712348901</v>
      </c>
      <c r="X5" s="4" t="s">
        <v>185</v>
      </c>
      <c r="Y5" s="4" t="s">
        <v>189</v>
      </c>
      <c r="Z5" s="4" t="s">
        <v>77</v>
      </c>
      <c r="AA5" s="5">
        <v>46056</v>
      </c>
      <c r="AC5" s="4" t="b">
        <v>1</v>
      </c>
      <c r="AD5" s="4" t="s">
        <v>193</v>
      </c>
      <c r="AE5" s="4" t="s">
        <v>197</v>
      </c>
      <c r="AF5" s="4" t="s">
        <v>201</v>
      </c>
      <c r="AG5" s="5">
        <v>45678</v>
      </c>
      <c r="AH5" s="4" t="b">
        <v>1</v>
      </c>
      <c r="AI5" s="4" t="b">
        <v>1</v>
      </c>
      <c r="AK5" s="4" t="s">
        <v>78</v>
      </c>
      <c r="AL5" s="4" t="s">
        <v>79</v>
      </c>
      <c r="AM5" s="4">
        <v>1</v>
      </c>
      <c r="AN5" s="4" t="s">
        <v>205</v>
      </c>
      <c r="AO5" s="4" t="s">
        <v>80</v>
      </c>
      <c r="AP5" s="5">
        <v>46036</v>
      </c>
      <c r="AQ5" s="5">
        <v>44158</v>
      </c>
      <c r="AR5" s="4" t="s">
        <v>81</v>
      </c>
      <c r="AS5" s="7">
        <v>7736088990</v>
      </c>
      <c r="AT5" s="4" t="s">
        <v>209</v>
      </c>
      <c r="AU5" s="4" t="s">
        <v>213</v>
      </c>
      <c r="AV5" s="4" t="s">
        <v>217</v>
      </c>
      <c r="AW5" s="4" t="s">
        <v>221</v>
      </c>
      <c r="AX5" s="4" t="b">
        <v>0</v>
      </c>
      <c r="AY5" s="4" t="s">
        <v>163</v>
      </c>
      <c r="AZ5" s="4" t="s">
        <v>225</v>
      </c>
      <c r="BA5" s="4" t="b">
        <v>1</v>
      </c>
      <c r="BB5" s="4" t="b">
        <v>0</v>
      </c>
      <c r="BC5" s="4" t="s">
        <v>229</v>
      </c>
      <c r="BD5" s="4" t="s">
        <v>233</v>
      </c>
      <c r="BE5" s="5">
        <v>45731</v>
      </c>
      <c r="BF5" s="5" t="s">
        <v>261</v>
      </c>
      <c r="BG5" s="4" t="s">
        <v>82</v>
      </c>
      <c r="BH5" s="4" t="s">
        <v>83</v>
      </c>
      <c r="BI5" s="5">
        <v>44207</v>
      </c>
      <c r="BJ5" s="5">
        <v>44548</v>
      </c>
      <c r="BK5" s="5">
        <v>44872</v>
      </c>
      <c r="BL5" s="5">
        <v>45899</v>
      </c>
      <c r="BM5" s="5">
        <v>45421</v>
      </c>
      <c r="BN5" s="5">
        <v>44051</v>
      </c>
      <c r="BO5" s="5">
        <v>45731</v>
      </c>
      <c r="BP5" s="5">
        <v>45790</v>
      </c>
      <c r="BQ5" s="5">
        <v>45479</v>
      </c>
      <c r="BR5" s="5">
        <v>44158</v>
      </c>
      <c r="BS5" s="5">
        <v>45646</v>
      </c>
      <c r="BT5" s="5">
        <v>43865</v>
      </c>
      <c r="BU5" s="5">
        <v>44373</v>
      </c>
      <c r="BV5" s="5">
        <v>45080</v>
      </c>
      <c r="BW5" s="5">
        <v>45422</v>
      </c>
      <c r="BX5" s="4" t="s">
        <v>237</v>
      </c>
      <c r="BY5" s="4" t="s">
        <v>162</v>
      </c>
      <c r="BZ5" s="5">
        <v>45423</v>
      </c>
      <c r="CA5" s="5">
        <v>46330</v>
      </c>
      <c r="CB5" s="4" t="s">
        <v>76</v>
      </c>
      <c r="CC5" s="4" t="s">
        <v>244</v>
      </c>
      <c r="CD5" s="4" t="s">
        <v>245</v>
      </c>
      <c r="CE5" s="4" t="s">
        <v>246</v>
      </c>
      <c r="CF5" s="4" t="s">
        <v>240</v>
      </c>
      <c r="CG5" s="4">
        <v>400089</v>
      </c>
      <c r="CH5" s="4" t="s">
        <v>91</v>
      </c>
      <c r="CI5" s="4" t="s">
        <v>255</v>
      </c>
      <c r="CJ5" s="4" t="s">
        <v>112</v>
      </c>
      <c r="CK5" s="4" t="s">
        <v>114</v>
      </c>
      <c r="CL5" s="4" t="s">
        <v>113</v>
      </c>
      <c r="CM5" s="4" t="s">
        <v>262</v>
      </c>
      <c r="CO5" s="4" t="s">
        <v>115</v>
      </c>
      <c r="CP5" s="4" t="s">
        <v>116</v>
      </c>
      <c r="CQ5" s="4" t="s">
        <v>117</v>
      </c>
      <c r="CR5" s="4" t="s">
        <v>118</v>
      </c>
      <c r="CS5" s="4" t="s">
        <v>119</v>
      </c>
      <c r="CT5" s="4" t="s">
        <v>90</v>
      </c>
      <c r="CU5" s="4" t="s">
        <v>263</v>
      </c>
      <c r="CV5" s="4" t="s">
        <v>264</v>
      </c>
      <c r="CW5" s="8" t="s">
        <v>123</v>
      </c>
      <c r="CX5" s="8" t="s">
        <v>124</v>
      </c>
      <c r="CY5" s="4" t="s">
        <v>120</v>
      </c>
      <c r="CZ5" s="4" t="s">
        <v>122</v>
      </c>
      <c r="DA5" s="4" t="s">
        <v>121</v>
      </c>
      <c r="DB5" s="4" t="s">
        <v>253</v>
      </c>
      <c r="DC5" s="4" t="s">
        <v>129</v>
      </c>
      <c r="DD5" s="4">
        <v>10</v>
      </c>
      <c r="DE5" s="4">
        <v>32</v>
      </c>
      <c r="DF5" s="4" t="s">
        <v>166</v>
      </c>
      <c r="DG5" s="4">
        <v>829104573612</v>
      </c>
      <c r="DH5" s="4" t="s">
        <v>254</v>
      </c>
      <c r="DI5" s="4">
        <v>500001004</v>
      </c>
      <c r="DJ5" s="4" t="s">
        <v>139</v>
      </c>
      <c r="DK5" s="4" t="s">
        <v>89</v>
      </c>
      <c r="DL5" s="4">
        <v>2</v>
      </c>
      <c r="DM5" s="9">
        <v>43911</v>
      </c>
      <c r="DN5" s="4" t="s">
        <v>140</v>
      </c>
      <c r="DO5" s="4">
        <v>1</v>
      </c>
      <c r="DP5" s="9">
        <v>32343</v>
      </c>
      <c r="DQ5" s="4" t="s">
        <v>158</v>
      </c>
      <c r="DR5" s="4" t="s">
        <v>159</v>
      </c>
      <c r="DS5" s="4">
        <v>9988776657</v>
      </c>
      <c r="DT5" s="4">
        <v>4060001234</v>
      </c>
      <c r="DU5" s="4">
        <v>4060004321</v>
      </c>
      <c r="DV5" s="4" t="s">
        <v>160</v>
      </c>
      <c r="DW5" s="4" t="s">
        <v>89</v>
      </c>
      <c r="DX5" s="4">
        <v>2</v>
      </c>
      <c r="DY5" s="4">
        <v>5</v>
      </c>
      <c r="DZ5" s="4" t="s">
        <v>156</v>
      </c>
      <c r="EA5" s="4" t="s">
        <v>157</v>
      </c>
      <c r="EB5" s="4">
        <v>1200000</v>
      </c>
      <c r="EC5" s="4">
        <v>156</v>
      </c>
      <c r="ED5" s="4" t="s">
        <v>265</v>
      </c>
    </row>
    <row r="6" spans="1:134" x14ac:dyDescent="0.35">
      <c r="B6" s="4" t="s">
        <v>169</v>
      </c>
      <c r="C6" s="4" t="s">
        <v>169</v>
      </c>
      <c r="D6" s="4" t="s">
        <v>173</v>
      </c>
      <c r="F6" s="4" t="s">
        <v>177</v>
      </c>
      <c r="G6" s="4" t="s">
        <v>73</v>
      </c>
      <c r="I6" s="5">
        <v>26328</v>
      </c>
      <c r="J6" s="4" t="s">
        <v>74</v>
      </c>
      <c r="K6" s="4" t="s">
        <v>75</v>
      </c>
      <c r="Q6" s="4" t="s">
        <v>269</v>
      </c>
      <c r="R6" s="5">
        <v>46161</v>
      </c>
      <c r="S6" s="4" t="s">
        <v>76</v>
      </c>
      <c r="T6" s="5">
        <v>46054</v>
      </c>
      <c r="U6" s="4" t="b">
        <v>1</v>
      </c>
      <c r="V6" s="4" t="s">
        <v>182</v>
      </c>
      <c r="W6" s="6">
        <v>773200193345</v>
      </c>
      <c r="X6" s="4" t="s">
        <v>186</v>
      </c>
      <c r="Y6" s="4" t="s">
        <v>190</v>
      </c>
      <c r="Z6" s="4" t="s">
        <v>77</v>
      </c>
      <c r="AA6" s="5">
        <v>46056</v>
      </c>
      <c r="AC6" s="4" t="b">
        <v>1</v>
      </c>
      <c r="AD6" s="4" t="s">
        <v>194</v>
      </c>
      <c r="AE6" s="4" t="s">
        <v>198</v>
      </c>
      <c r="AF6" s="4" t="s">
        <v>202</v>
      </c>
      <c r="AG6" s="5">
        <v>44530</v>
      </c>
      <c r="AH6" s="4" t="b">
        <v>0</v>
      </c>
      <c r="AI6" s="4" t="b">
        <v>1</v>
      </c>
      <c r="AK6" s="4" t="s">
        <v>78</v>
      </c>
      <c r="AL6" s="4" t="s">
        <v>79</v>
      </c>
      <c r="AM6" s="4">
        <v>1</v>
      </c>
      <c r="AN6" s="4" t="s">
        <v>206</v>
      </c>
      <c r="AO6" s="4" t="s">
        <v>80</v>
      </c>
      <c r="AP6" s="5">
        <v>46052</v>
      </c>
      <c r="AQ6" s="5">
        <v>44158</v>
      </c>
      <c r="AR6" s="4" t="s">
        <v>81</v>
      </c>
      <c r="AS6" s="7">
        <v>6235109876</v>
      </c>
      <c r="AT6" s="4" t="s">
        <v>210</v>
      </c>
      <c r="AU6" s="4" t="s">
        <v>214</v>
      </c>
      <c r="AV6" s="4" t="s">
        <v>218</v>
      </c>
      <c r="AW6" s="4" t="s">
        <v>222</v>
      </c>
      <c r="AX6" s="4" t="b">
        <v>0</v>
      </c>
      <c r="AY6" s="4" t="s">
        <v>163</v>
      </c>
      <c r="AZ6" s="4" t="s">
        <v>226</v>
      </c>
      <c r="BA6" s="4" t="b">
        <v>1</v>
      </c>
      <c r="BB6" s="4" t="b">
        <v>0</v>
      </c>
      <c r="BC6" s="4" t="s">
        <v>230</v>
      </c>
      <c r="BD6" s="4" t="s">
        <v>234</v>
      </c>
      <c r="BE6" s="5">
        <v>45750</v>
      </c>
      <c r="BF6" s="5" t="s">
        <v>261</v>
      </c>
      <c r="BG6" s="4" t="s">
        <v>82</v>
      </c>
      <c r="BH6" s="4" t="s">
        <v>83</v>
      </c>
      <c r="BI6" s="5">
        <v>44208</v>
      </c>
      <c r="BJ6" s="5">
        <v>44549</v>
      </c>
      <c r="BK6" s="5">
        <v>44873</v>
      </c>
      <c r="BL6" s="5">
        <v>45900</v>
      </c>
      <c r="BM6" s="5">
        <v>45422</v>
      </c>
      <c r="BN6" s="5">
        <v>44052</v>
      </c>
      <c r="BO6" s="5">
        <v>45750</v>
      </c>
      <c r="BP6" s="5">
        <v>45791</v>
      </c>
      <c r="BQ6" s="5">
        <v>45480</v>
      </c>
      <c r="BR6" s="5">
        <v>44159</v>
      </c>
      <c r="BS6" s="5">
        <v>45647</v>
      </c>
      <c r="BT6" s="5">
        <v>43866</v>
      </c>
      <c r="BU6" s="5">
        <v>44374</v>
      </c>
      <c r="BV6" s="5">
        <v>45081</v>
      </c>
      <c r="BW6" s="5">
        <v>45423</v>
      </c>
      <c r="BX6" s="4" t="s">
        <v>238</v>
      </c>
      <c r="BY6" s="4" t="s">
        <v>162</v>
      </c>
      <c r="BZ6" s="5">
        <v>45663</v>
      </c>
      <c r="CA6" s="5">
        <v>46044</v>
      </c>
      <c r="CB6" s="4" t="s">
        <v>76</v>
      </c>
      <c r="CC6" s="4" t="s">
        <v>247</v>
      </c>
      <c r="CD6" s="4" t="s">
        <v>248</v>
      </c>
      <c r="CE6" s="4" t="s">
        <v>249</v>
      </c>
      <c r="CF6" s="4" t="s">
        <v>240</v>
      </c>
      <c r="CG6" s="4">
        <v>400028</v>
      </c>
      <c r="CH6" s="4" t="s">
        <v>91</v>
      </c>
      <c r="CI6" s="4" t="s">
        <v>255</v>
      </c>
      <c r="CJ6" s="4" t="s">
        <v>112</v>
      </c>
      <c r="CK6" s="4" t="s">
        <v>114</v>
      </c>
      <c r="CL6" s="4" t="s">
        <v>113</v>
      </c>
      <c r="CM6" s="4" t="s">
        <v>262</v>
      </c>
      <c r="CO6" s="4" t="s">
        <v>115</v>
      </c>
      <c r="CP6" s="4" t="s">
        <v>116</v>
      </c>
      <c r="CQ6" s="4" t="s">
        <v>117</v>
      </c>
      <c r="CR6" s="4" t="s">
        <v>118</v>
      </c>
      <c r="CS6" s="4" t="s">
        <v>119</v>
      </c>
      <c r="CT6" s="4" t="s">
        <v>90</v>
      </c>
      <c r="CU6" s="4" t="s">
        <v>263</v>
      </c>
      <c r="CV6" s="4" t="s">
        <v>264</v>
      </c>
      <c r="CW6" s="8" t="s">
        <v>123</v>
      </c>
      <c r="CX6" s="8" t="s">
        <v>124</v>
      </c>
      <c r="CY6" s="4" t="s">
        <v>120</v>
      </c>
      <c r="CZ6" s="4" t="s">
        <v>122</v>
      </c>
      <c r="DA6" s="4" t="s">
        <v>121</v>
      </c>
      <c r="DB6" s="4" t="s">
        <v>253</v>
      </c>
      <c r="DC6" s="4" t="s">
        <v>129</v>
      </c>
      <c r="DD6" s="4">
        <v>10</v>
      </c>
      <c r="DE6" s="4">
        <v>32</v>
      </c>
      <c r="DF6" s="4" t="s">
        <v>166</v>
      </c>
      <c r="DG6" s="4">
        <v>829104573612</v>
      </c>
      <c r="DH6" s="4" t="s">
        <v>254</v>
      </c>
      <c r="DI6" s="4">
        <v>500001004</v>
      </c>
      <c r="DJ6" s="4" t="s">
        <v>139</v>
      </c>
      <c r="DK6" s="4" t="s">
        <v>89</v>
      </c>
      <c r="DL6" s="4">
        <v>2</v>
      </c>
      <c r="DM6" s="9">
        <v>43911</v>
      </c>
      <c r="DN6" s="4" t="s">
        <v>140</v>
      </c>
      <c r="DO6" s="4">
        <v>1</v>
      </c>
      <c r="DP6" s="9">
        <v>32343</v>
      </c>
      <c r="DQ6" s="4" t="s">
        <v>158</v>
      </c>
      <c r="DR6" s="4" t="s">
        <v>159</v>
      </c>
      <c r="DS6" s="4">
        <v>9988776657</v>
      </c>
      <c r="DT6" s="4">
        <v>4060001234</v>
      </c>
      <c r="DU6" s="4">
        <v>4060004321</v>
      </c>
      <c r="DV6" s="4" t="s">
        <v>160</v>
      </c>
      <c r="DW6" s="4" t="s">
        <v>89</v>
      </c>
      <c r="DX6" s="4">
        <v>2</v>
      </c>
      <c r="DY6" s="4">
        <v>5</v>
      </c>
      <c r="DZ6" s="4" t="s">
        <v>156</v>
      </c>
      <c r="EA6" s="4" t="s">
        <v>157</v>
      </c>
      <c r="EB6" s="4">
        <v>1200000</v>
      </c>
      <c r="EC6" s="4">
        <v>156</v>
      </c>
      <c r="ED6" s="4" t="s">
        <v>267</v>
      </c>
    </row>
    <row r="7" spans="1:134" x14ac:dyDescent="0.35">
      <c r="B7" s="4" t="s">
        <v>170</v>
      </c>
      <c r="C7" s="4" t="s">
        <v>170</v>
      </c>
      <c r="D7" s="4" t="s">
        <v>174</v>
      </c>
      <c r="F7" s="4" t="s">
        <v>178</v>
      </c>
      <c r="G7" s="4" t="s">
        <v>73</v>
      </c>
      <c r="I7" s="5">
        <v>20259</v>
      </c>
      <c r="J7" s="4" t="s">
        <v>74</v>
      </c>
      <c r="K7" s="4" t="s">
        <v>75</v>
      </c>
      <c r="Q7" s="4" t="s">
        <v>269</v>
      </c>
      <c r="R7" s="5">
        <v>45199</v>
      </c>
      <c r="S7" s="4" t="s">
        <v>76</v>
      </c>
      <c r="T7" s="5">
        <v>46054</v>
      </c>
      <c r="U7" s="4" t="b">
        <v>1</v>
      </c>
      <c r="V7" s="4" t="s">
        <v>183</v>
      </c>
      <c r="W7" s="6">
        <v>109855672210</v>
      </c>
      <c r="X7" s="4" t="s">
        <v>187</v>
      </c>
      <c r="Y7" s="4" t="s">
        <v>191</v>
      </c>
      <c r="Z7" s="4" t="s">
        <v>77</v>
      </c>
      <c r="AA7" s="5">
        <v>46056</v>
      </c>
      <c r="AC7" s="4" t="b">
        <v>1</v>
      </c>
      <c r="AD7" s="4" t="s">
        <v>195</v>
      </c>
      <c r="AE7" s="4" t="s">
        <v>199</v>
      </c>
      <c r="AF7" s="4" t="s">
        <v>203</v>
      </c>
      <c r="AG7" s="5">
        <v>45488</v>
      </c>
      <c r="AH7" s="4" t="b">
        <v>0</v>
      </c>
      <c r="AI7" s="4" t="b">
        <v>1</v>
      </c>
      <c r="AK7" s="4" t="s">
        <v>78</v>
      </c>
      <c r="AL7" s="4" t="s">
        <v>79</v>
      </c>
      <c r="AM7" s="4">
        <v>1</v>
      </c>
      <c r="AN7" s="4" t="s">
        <v>207</v>
      </c>
      <c r="AO7" s="4" t="s">
        <v>80</v>
      </c>
      <c r="AP7" s="5">
        <v>46024</v>
      </c>
      <c r="AQ7" s="5">
        <v>44158</v>
      </c>
      <c r="AR7" s="4" t="s">
        <v>81</v>
      </c>
      <c r="AS7" s="7">
        <v>9447056789</v>
      </c>
      <c r="AT7" s="4" t="s">
        <v>211</v>
      </c>
      <c r="AU7" s="4" t="s">
        <v>215</v>
      </c>
      <c r="AV7" s="4" t="s">
        <v>219</v>
      </c>
      <c r="AW7" s="4" t="s">
        <v>223</v>
      </c>
      <c r="AX7" s="4" t="b">
        <v>0</v>
      </c>
      <c r="AY7" s="4" t="s">
        <v>163</v>
      </c>
      <c r="AZ7" s="4" t="s">
        <v>227</v>
      </c>
      <c r="BA7" s="4" t="b">
        <v>1</v>
      </c>
      <c r="BB7" s="4" t="b">
        <v>0</v>
      </c>
      <c r="BC7" s="4" t="s">
        <v>231</v>
      </c>
      <c r="BD7" s="4" t="s">
        <v>235</v>
      </c>
      <c r="BE7" s="5">
        <v>45769</v>
      </c>
      <c r="BF7" s="5" t="s">
        <v>261</v>
      </c>
      <c r="BG7" s="4" t="s">
        <v>82</v>
      </c>
      <c r="BH7" s="4" t="s">
        <v>83</v>
      </c>
      <c r="BI7" s="5">
        <v>44209</v>
      </c>
      <c r="BJ7" s="5">
        <v>44550</v>
      </c>
      <c r="BK7" s="5">
        <v>44874</v>
      </c>
      <c r="BL7" s="5">
        <v>45901</v>
      </c>
      <c r="BM7" s="5">
        <v>45423</v>
      </c>
      <c r="BN7" s="5">
        <v>44053</v>
      </c>
      <c r="BO7" s="5">
        <v>45769</v>
      </c>
      <c r="BP7" s="5">
        <v>45792</v>
      </c>
      <c r="BQ7" s="5">
        <v>45481</v>
      </c>
      <c r="BR7" s="5">
        <v>44160</v>
      </c>
      <c r="BS7" s="5">
        <v>45648</v>
      </c>
      <c r="BT7" s="5">
        <v>43867</v>
      </c>
      <c r="BU7" s="5">
        <v>44375</v>
      </c>
      <c r="BV7" s="5">
        <v>45082</v>
      </c>
      <c r="BW7" s="5">
        <v>45424</v>
      </c>
      <c r="BX7" s="4" t="s">
        <v>239</v>
      </c>
      <c r="BY7" s="4" t="s">
        <v>162</v>
      </c>
      <c r="BZ7" s="5">
        <v>45501</v>
      </c>
      <c r="CA7" s="5">
        <v>46161</v>
      </c>
      <c r="CB7" s="4" t="s">
        <v>76</v>
      </c>
      <c r="CC7" s="4" t="s">
        <v>250</v>
      </c>
      <c r="CD7" s="4" t="s">
        <v>251</v>
      </c>
      <c r="CE7" s="4" t="s">
        <v>252</v>
      </c>
      <c r="CF7" s="4" t="s">
        <v>240</v>
      </c>
      <c r="CG7" s="4">
        <v>400030</v>
      </c>
      <c r="CH7" s="4" t="s">
        <v>91</v>
      </c>
      <c r="CI7" s="4" t="s">
        <v>255</v>
      </c>
      <c r="CJ7" s="4" t="s">
        <v>112</v>
      </c>
      <c r="CK7" s="4" t="s">
        <v>114</v>
      </c>
      <c r="CL7" s="4" t="s">
        <v>113</v>
      </c>
      <c r="CM7" s="4" t="s">
        <v>262</v>
      </c>
      <c r="CO7" s="4" t="s">
        <v>115</v>
      </c>
      <c r="CP7" s="4" t="s">
        <v>116</v>
      </c>
      <c r="CQ7" s="4" t="s">
        <v>117</v>
      </c>
      <c r="CR7" s="4" t="s">
        <v>118</v>
      </c>
      <c r="CS7" s="4" t="s">
        <v>119</v>
      </c>
      <c r="CT7" s="4" t="s">
        <v>90</v>
      </c>
      <c r="CU7" s="4" t="s">
        <v>263</v>
      </c>
      <c r="CV7" s="4" t="s">
        <v>264</v>
      </c>
      <c r="CW7" s="8" t="s">
        <v>123</v>
      </c>
      <c r="CX7" s="8" t="s">
        <v>124</v>
      </c>
      <c r="CY7" s="4" t="s">
        <v>120</v>
      </c>
      <c r="CZ7" s="4" t="s">
        <v>122</v>
      </c>
      <c r="DA7" s="4" t="s">
        <v>121</v>
      </c>
      <c r="DB7" s="4" t="s">
        <v>253</v>
      </c>
      <c r="DC7" s="4" t="s">
        <v>129</v>
      </c>
      <c r="DD7" s="4">
        <v>10</v>
      </c>
      <c r="DE7" s="4">
        <v>32</v>
      </c>
      <c r="DF7" s="4" t="s">
        <v>166</v>
      </c>
      <c r="DG7" s="4">
        <v>829104573612</v>
      </c>
      <c r="DH7" s="4" t="s">
        <v>254</v>
      </c>
      <c r="DI7" s="4">
        <v>500001004</v>
      </c>
      <c r="DJ7" s="4" t="s">
        <v>139</v>
      </c>
      <c r="DK7" s="4" t="s">
        <v>89</v>
      </c>
      <c r="DL7" s="4">
        <v>2</v>
      </c>
      <c r="DM7" s="9">
        <v>43911</v>
      </c>
      <c r="DN7" s="4" t="s">
        <v>140</v>
      </c>
      <c r="DO7" s="4">
        <v>1</v>
      </c>
      <c r="DP7" s="9">
        <v>32343</v>
      </c>
      <c r="DQ7" s="4" t="s">
        <v>158</v>
      </c>
      <c r="DR7" s="4" t="s">
        <v>159</v>
      </c>
      <c r="DS7" s="4">
        <v>9988776657</v>
      </c>
      <c r="DT7" s="4">
        <v>4060001234</v>
      </c>
      <c r="DU7" s="4">
        <v>4060004321</v>
      </c>
      <c r="DV7" s="4" t="s">
        <v>160</v>
      </c>
      <c r="DW7" s="4" t="s">
        <v>89</v>
      </c>
      <c r="DX7" s="4">
        <v>2</v>
      </c>
      <c r="DY7" s="4">
        <v>5</v>
      </c>
      <c r="DZ7" s="4" t="s">
        <v>156</v>
      </c>
      <c r="EA7" s="4" t="s">
        <v>157</v>
      </c>
      <c r="EB7" s="4">
        <v>1200000</v>
      </c>
      <c r="EC7" s="4">
        <v>156</v>
      </c>
      <c r="ED7" s="4" t="s">
        <v>268</v>
      </c>
    </row>
  </sheetData>
  <phoneticPr fontId="2" type="noConversion"/>
  <conditionalFormatting sqref="A1:ED2">
    <cfRule type="cellIs" dxfId="0" priority="1" operator="equal">
      <formula>"Ignore Field"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6"/>
  <sheetViews>
    <sheetView topLeftCell="A51" workbookViewId="0">
      <selection activeCell="F4" sqref="F4"/>
    </sheetView>
  </sheetViews>
  <sheetFormatPr defaultRowHeight="14.5" x14ac:dyDescent="0.35"/>
  <cols>
    <col min="1" max="1" width="23.54296875" bestFit="1" customWidth="1"/>
    <col min="6" max="6" width="7.81640625" bestFit="1" customWidth="1"/>
  </cols>
  <sheetData>
    <row r="1" spans="1:8" x14ac:dyDescent="0.35">
      <c r="A1" t="s">
        <v>381</v>
      </c>
      <c r="B1" t="s">
        <v>382</v>
      </c>
      <c r="C1" t="s">
        <v>383</v>
      </c>
      <c r="D1" t="s">
        <v>384</v>
      </c>
      <c r="E1" t="s">
        <v>385</v>
      </c>
      <c r="F1" t="s">
        <v>386</v>
      </c>
      <c r="G1" t="s">
        <v>387</v>
      </c>
      <c r="H1" t="s">
        <v>388</v>
      </c>
    </row>
    <row r="2" spans="1:8" hidden="1" x14ac:dyDescent="0.35">
      <c r="A2" t="s">
        <v>276</v>
      </c>
      <c r="B2">
        <v>1</v>
      </c>
      <c r="C2" t="s">
        <v>389</v>
      </c>
      <c r="D2" t="s">
        <v>390</v>
      </c>
      <c r="E2" t="s">
        <v>391</v>
      </c>
      <c r="F2" t="s">
        <v>404</v>
      </c>
      <c r="G2" t="s">
        <v>391</v>
      </c>
      <c r="H2" t="s">
        <v>391</v>
      </c>
    </row>
    <row r="3" spans="1:8" hidden="1" x14ac:dyDescent="0.35">
      <c r="A3" t="s">
        <v>277</v>
      </c>
      <c r="B3">
        <v>2</v>
      </c>
      <c r="C3" t="s">
        <v>392</v>
      </c>
      <c r="D3" t="s">
        <v>391</v>
      </c>
      <c r="E3" t="s">
        <v>393</v>
      </c>
      <c r="F3" t="s">
        <v>404</v>
      </c>
      <c r="G3" t="s">
        <v>391</v>
      </c>
      <c r="H3" t="s">
        <v>391</v>
      </c>
    </row>
    <row r="4" spans="1:8" x14ac:dyDescent="0.35">
      <c r="A4" t="s">
        <v>278</v>
      </c>
      <c r="B4">
        <v>5</v>
      </c>
      <c r="C4" t="s">
        <v>394</v>
      </c>
      <c r="D4" t="s">
        <v>391</v>
      </c>
      <c r="E4" t="s">
        <v>393</v>
      </c>
      <c r="F4" t="b">
        <v>0</v>
      </c>
      <c r="G4" t="s">
        <v>391</v>
      </c>
      <c r="H4" t="s">
        <v>391</v>
      </c>
    </row>
    <row r="5" spans="1:8" x14ac:dyDescent="0.35">
      <c r="A5" t="s">
        <v>279</v>
      </c>
      <c r="B5">
        <v>6</v>
      </c>
      <c r="C5" t="s">
        <v>395</v>
      </c>
      <c r="D5" t="s">
        <v>391</v>
      </c>
      <c r="E5" t="s">
        <v>393</v>
      </c>
      <c r="F5" t="b">
        <v>0</v>
      </c>
      <c r="G5" t="s">
        <v>391</v>
      </c>
      <c r="H5" t="s">
        <v>391</v>
      </c>
    </row>
    <row r="6" spans="1:8" x14ac:dyDescent="0.35">
      <c r="A6" t="s">
        <v>280</v>
      </c>
      <c r="B6">
        <v>7</v>
      </c>
      <c r="C6" t="s">
        <v>394</v>
      </c>
      <c r="D6" t="s">
        <v>391</v>
      </c>
      <c r="E6" t="s">
        <v>393</v>
      </c>
      <c r="F6" t="b">
        <v>0</v>
      </c>
      <c r="G6" t="s">
        <v>391</v>
      </c>
      <c r="H6" t="s">
        <v>391</v>
      </c>
    </row>
    <row r="7" spans="1:8" x14ac:dyDescent="0.35">
      <c r="A7" t="s">
        <v>281</v>
      </c>
      <c r="B7">
        <v>8</v>
      </c>
      <c r="C7" t="s">
        <v>394</v>
      </c>
      <c r="D7" t="s">
        <v>391</v>
      </c>
      <c r="E7" t="s">
        <v>393</v>
      </c>
      <c r="F7" t="b">
        <v>0</v>
      </c>
      <c r="G7" t="s">
        <v>391</v>
      </c>
      <c r="H7" t="s">
        <v>391</v>
      </c>
    </row>
    <row r="8" spans="1:8" x14ac:dyDescent="0.35">
      <c r="A8" t="s">
        <v>282</v>
      </c>
      <c r="B8">
        <v>9</v>
      </c>
      <c r="C8" t="s">
        <v>394</v>
      </c>
      <c r="D8" t="s">
        <v>391</v>
      </c>
      <c r="E8" t="s">
        <v>393</v>
      </c>
      <c r="F8" t="b">
        <v>0</v>
      </c>
      <c r="G8" t="s">
        <v>391</v>
      </c>
      <c r="H8" t="s">
        <v>391</v>
      </c>
    </row>
    <row r="9" spans="1:8" x14ac:dyDescent="0.35">
      <c r="A9" t="s">
        <v>283</v>
      </c>
      <c r="B9">
        <v>10</v>
      </c>
      <c r="C9" t="s">
        <v>396</v>
      </c>
      <c r="D9" t="s">
        <v>391</v>
      </c>
      <c r="E9" t="s">
        <v>393</v>
      </c>
      <c r="F9" t="b">
        <v>0</v>
      </c>
      <c r="G9" t="s">
        <v>391</v>
      </c>
      <c r="H9" t="s">
        <v>391</v>
      </c>
    </row>
    <row r="10" spans="1:8" x14ac:dyDescent="0.35">
      <c r="A10" t="s">
        <v>284</v>
      </c>
      <c r="B10">
        <v>11</v>
      </c>
      <c r="C10" t="s">
        <v>396</v>
      </c>
      <c r="D10" t="s">
        <v>391</v>
      </c>
      <c r="E10" t="s">
        <v>393</v>
      </c>
      <c r="F10" t="b">
        <v>0</v>
      </c>
      <c r="G10" t="s">
        <v>391</v>
      </c>
      <c r="H10" t="s">
        <v>391</v>
      </c>
    </row>
    <row r="11" spans="1:8" x14ac:dyDescent="0.35">
      <c r="A11" t="s">
        <v>285</v>
      </c>
      <c r="B11">
        <v>13</v>
      </c>
      <c r="C11" t="s">
        <v>397</v>
      </c>
      <c r="D11" t="s">
        <v>391</v>
      </c>
      <c r="E11" t="s">
        <v>391</v>
      </c>
      <c r="F11" t="b">
        <v>0</v>
      </c>
      <c r="G11" t="s">
        <v>391</v>
      </c>
      <c r="H11" t="s">
        <v>391</v>
      </c>
    </row>
    <row r="12" spans="1:8" x14ac:dyDescent="0.35">
      <c r="A12" t="s">
        <v>286</v>
      </c>
      <c r="B12">
        <v>14</v>
      </c>
      <c r="C12" t="s">
        <v>398</v>
      </c>
      <c r="D12" t="s">
        <v>391</v>
      </c>
      <c r="E12" t="s">
        <v>393</v>
      </c>
      <c r="F12" t="b">
        <v>0</v>
      </c>
      <c r="G12" t="s">
        <v>391</v>
      </c>
      <c r="H12" t="s">
        <v>391</v>
      </c>
    </row>
    <row r="13" spans="1:8" x14ac:dyDescent="0.35">
      <c r="A13" t="s">
        <v>287</v>
      </c>
      <c r="B13">
        <v>16</v>
      </c>
      <c r="C13" t="s">
        <v>399</v>
      </c>
      <c r="D13" t="s">
        <v>391</v>
      </c>
      <c r="E13" t="s">
        <v>393</v>
      </c>
      <c r="F13" t="b">
        <v>0</v>
      </c>
      <c r="G13" t="s">
        <v>391</v>
      </c>
      <c r="H13" t="s">
        <v>391</v>
      </c>
    </row>
    <row r="14" spans="1:8" x14ac:dyDescent="0.35">
      <c r="A14" t="s">
        <v>288</v>
      </c>
      <c r="B14">
        <v>20</v>
      </c>
      <c r="C14" t="s">
        <v>396</v>
      </c>
      <c r="D14" t="s">
        <v>391</v>
      </c>
      <c r="E14" t="s">
        <v>393</v>
      </c>
      <c r="F14" t="b">
        <v>0</v>
      </c>
      <c r="G14" t="s">
        <v>391</v>
      </c>
      <c r="H14" t="s">
        <v>391</v>
      </c>
    </row>
    <row r="15" spans="1:8" x14ac:dyDescent="0.35">
      <c r="A15" t="s">
        <v>289</v>
      </c>
      <c r="B15">
        <v>22</v>
      </c>
      <c r="C15" t="s">
        <v>396</v>
      </c>
      <c r="D15" t="s">
        <v>391</v>
      </c>
      <c r="E15" t="s">
        <v>393</v>
      </c>
      <c r="F15" t="b">
        <v>0</v>
      </c>
      <c r="G15" t="s">
        <v>391</v>
      </c>
      <c r="H15" t="s">
        <v>391</v>
      </c>
    </row>
    <row r="16" spans="1:8" x14ac:dyDescent="0.35">
      <c r="A16" t="s">
        <v>290</v>
      </c>
      <c r="B16">
        <v>24</v>
      </c>
      <c r="C16" t="s">
        <v>397</v>
      </c>
      <c r="D16" t="s">
        <v>391</v>
      </c>
      <c r="E16" t="s">
        <v>391</v>
      </c>
      <c r="F16" t="b">
        <v>0</v>
      </c>
      <c r="G16" t="s">
        <v>391</v>
      </c>
      <c r="H16" t="s">
        <v>391</v>
      </c>
    </row>
    <row r="17" spans="1:8" x14ac:dyDescent="0.35">
      <c r="A17" t="s">
        <v>291</v>
      </c>
      <c r="B17">
        <v>25</v>
      </c>
      <c r="C17" t="s">
        <v>396</v>
      </c>
      <c r="D17" t="s">
        <v>391</v>
      </c>
      <c r="E17" t="s">
        <v>393</v>
      </c>
      <c r="F17" t="b">
        <v>0</v>
      </c>
      <c r="G17" t="s">
        <v>391</v>
      </c>
      <c r="H17" t="s">
        <v>391</v>
      </c>
    </row>
    <row r="18" spans="1:8" x14ac:dyDescent="0.35">
      <c r="A18" t="s">
        <v>292</v>
      </c>
      <c r="B18">
        <v>26</v>
      </c>
      <c r="C18" t="s">
        <v>397</v>
      </c>
      <c r="D18" t="s">
        <v>391</v>
      </c>
      <c r="E18" t="s">
        <v>391</v>
      </c>
      <c r="F18" t="b">
        <v>0</v>
      </c>
      <c r="G18" t="s">
        <v>391</v>
      </c>
      <c r="H18" t="s">
        <v>391</v>
      </c>
    </row>
    <row r="19" spans="1:8" hidden="1" x14ac:dyDescent="0.35">
      <c r="A19" t="s">
        <v>293</v>
      </c>
      <c r="B19">
        <v>27</v>
      </c>
      <c r="C19" t="s">
        <v>400</v>
      </c>
      <c r="D19" t="s">
        <v>391</v>
      </c>
      <c r="E19" t="s">
        <v>391</v>
      </c>
      <c r="F19" t="s">
        <v>404</v>
      </c>
      <c r="G19" t="s">
        <v>391</v>
      </c>
      <c r="H19" t="s">
        <v>391</v>
      </c>
    </row>
    <row r="20" spans="1:8" x14ac:dyDescent="0.35">
      <c r="A20" t="s">
        <v>294</v>
      </c>
      <c r="B20">
        <v>28</v>
      </c>
      <c r="C20" t="s">
        <v>398</v>
      </c>
      <c r="D20" t="s">
        <v>391</v>
      </c>
      <c r="E20" t="s">
        <v>393</v>
      </c>
      <c r="F20" t="b">
        <v>0</v>
      </c>
      <c r="G20" t="s">
        <v>391</v>
      </c>
      <c r="H20" t="s">
        <v>391</v>
      </c>
    </row>
    <row r="21" spans="1:8" x14ac:dyDescent="0.35">
      <c r="A21" t="s">
        <v>295</v>
      </c>
      <c r="B21">
        <v>29</v>
      </c>
      <c r="C21" t="s">
        <v>398</v>
      </c>
      <c r="D21" t="s">
        <v>391</v>
      </c>
      <c r="E21" t="s">
        <v>393</v>
      </c>
      <c r="F21" t="b">
        <v>0</v>
      </c>
      <c r="G21" t="s">
        <v>391</v>
      </c>
      <c r="H21" t="s">
        <v>391</v>
      </c>
    </row>
    <row r="22" spans="1:8" x14ac:dyDescent="0.35">
      <c r="A22" t="s">
        <v>296</v>
      </c>
      <c r="B22">
        <v>30</v>
      </c>
      <c r="C22" t="s">
        <v>398</v>
      </c>
      <c r="D22" t="s">
        <v>391</v>
      </c>
      <c r="E22" t="s">
        <v>393</v>
      </c>
      <c r="F22" t="b">
        <v>0</v>
      </c>
      <c r="G22" t="s">
        <v>391</v>
      </c>
      <c r="H22" t="s">
        <v>391</v>
      </c>
    </row>
    <row r="23" spans="1:8" x14ac:dyDescent="0.35">
      <c r="A23" t="s">
        <v>297</v>
      </c>
      <c r="B23">
        <v>31</v>
      </c>
      <c r="C23" t="s">
        <v>401</v>
      </c>
      <c r="D23" t="s">
        <v>391</v>
      </c>
      <c r="E23" t="s">
        <v>393</v>
      </c>
      <c r="F23" t="b">
        <v>0</v>
      </c>
      <c r="G23" t="s">
        <v>391</v>
      </c>
      <c r="H23" t="s">
        <v>391</v>
      </c>
    </row>
    <row r="24" spans="1:8" hidden="1" x14ac:dyDescent="0.35">
      <c r="A24" t="s">
        <v>298</v>
      </c>
      <c r="B24">
        <v>32</v>
      </c>
      <c r="C24" t="s">
        <v>401</v>
      </c>
      <c r="D24" t="s">
        <v>391</v>
      </c>
      <c r="E24" t="s">
        <v>393</v>
      </c>
      <c r="F24" t="s">
        <v>404</v>
      </c>
      <c r="G24" t="s">
        <v>391</v>
      </c>
      <c r="H24" t="s">
        <v>391</v>
      </c>
    </row>
    <row r="25" spans="1:8" hidden="1" x14ac:dyDescent="0.35">
      <c r="A25" t="s">
        <v>299</v>
      </c>
      <c r="B25">
        <v>33</v>
      </c>
      <c r="C25" t="s">
        <v>402</v>
      </c>
      <c r="D25" t="s">
        <v>391</v>
      </c>
      <c r="E25" t="s">
        <v>391</v>
      </c>
      <c r="F25" t="s">
        <v>404</v>
      </c>
      <c r="G25" t="s">
        <v>391</v>
      </c>
      <c r="H25" t="s">
        <v>391</v>
      </c>
    </row>
    <row r="26" spans="1:8" x14ac:dyDescent="0.35">
      <c r="A26" t="s">
        <v>300</v>
      </c>
      <c r="B26">
        <v>34</v>
      </c>
      <c r="C26" t="s">
        <v>401</v>
      </c>
      <c r="D26" t="s">
        <v>391</v>
      </c>
      <c r="E26" t="s">
        <v>393</v>
      </c>
      <c r="F26" t="b">
        <v>0</v>
      </c>
      <c r="G26" t="s">
        <v>391</v>
      </c>
      <c r="H26" t="s">
        <v>391</v>
      </c>
    </row>
    <row r="27" spans="1:8" x14ac:dyDescent="0.35">
      <c r="A27" t="s">
        <v>301</v>
      </c>
      <c r="B27">
        <v>35</v>
      </c>
      <c r="C27" t="s">
        <v>402</v>
      </c>
      <c r="D27" t="s">
        <v>391</v>
      </c>
      <c r="E27" t="s">
        <v>391</v>
      </c>
      <c r="F27" t="b">
        <v>0</v>
      </c>
      <c r="G27" t="s">
        <v>391</v>
      </c>
      <c r="H27" t="s">
        <v>391</v>
      </c>
    </row>
    <row r="28" spans="1:8" x14ac:dyDescent="0.35">
      <c r="A28" t="s">
        <v>302</v>
      </c>
      <c r="B28">
        <v>36</v>
      </c>
      <c r="C28" t="s">
        <v>389</v>
      </c>
      <c r="D28" t="s">
        <v>391</v>
      </c>
      <c r="E28" t="s">
        <v>391</v>
      </c>
      <c r="F28" t="b">
        <v>0</v>
      </c>
      <c r="G28" t="s">
        <v>391</v>
      </c>
      <c r="H28" t="s">
        <v>391</v>
      </c>
    </row>
    <row r="29" spans="1:8" x14ac:dyDescent="0.35">
      <c r="A29" t="s">
        <v>303</v>
      </c>
      <c r="B29">
        <v>38</v>
      </c>
      <c r="C29" t="s">
        <v>389</v>
      </c>
      <c r="D29" t="s">
        <v>391</v>
      </c>
      <c r="E29" t="s">
        <v>391</v>
      </c>
      <c r="F29" t="b">
        <v>0</v>
      </c>
      <c r="G29" t="s">
        <v>391</v>
      </c>
      <c r="H29" t="s">
        <v>391</v>
      </c>
    </row>
    <row r="30" spans="1:8" hidden="1" x14ac:dyDescent="0.35">
      <c r="A30" t="s">
        <v>304</v>
      </c>
      <c r="B30">
        <v>39</v>
      </c>
      <c r="C30" t="s">
        <v>400</v>
      </c>
      <c r="D30" t="s">
        <v>391</v>
      </c>
      <c r="E30" t="s">
        <v>391</v>
      </c>
      <c r="F30" t="s">
        <v>404</v>
      </c>
      <c r="G30" t="b">
        <v>1</v>
      </c>
      <c r="H30" t="s">
        <v>391</v>
      </c>
    </row>
    <row r="31" spans="1:8" x14ac:dyDescent="0.35">
      <c r="A31" t="s">
        <v>305</v>
      </c>
      <c r="B31">
        <v>40</v>
      </c>
      <c r="C31" t="s">
        <v>392</v>
      </c>
      <c r="D31" t="s">
        <v>391</v>
      </c>
      <c r="E31" t="s">
        <v>393</v>
      </c>
      <c r="F31" t="b">
        <v>0</v>
      </c>
      <c r="G31" t="s">
        <v>391</v>
      </c>
      <c r="H31" t="s">
        <v>391</v>
      </c>
    </row>
    <row r="32" spans="1:8" x14ac:dyDescent="0.35">
      <c r="A32" t="s">
        <v>306</v>
      </c>
      <c r="B32">
        <v>41</v>
      </c>
      <c r="C32" t="s">
        <v>396</v>
      </c>
      <c r="D32" t="s">
        <v>391</v>
      </c>
      <c r="E32" t="s">
        <v>393</v>
      </c>
      <c r="F32" t="b">
        <v>0</v>
      </c>
      <c r="G32" t="s">
        <v>391</v>
      </c>
      <c r="H32" t="s">
        <v>391</v>
      </c>
    </row>
    <row r="33" spans="1:8" x14ac:dyDescent="0.35">
      <c r="A33" t="s">
        <v>307</v>
      </c>
      <c r="B33">
        <v>43</v>
      </c>
      <c r="C33" t="s">
        <v>401</v>
      </c>
      <c r="D33" t="s">
        <v>391</v>
      </c>
      <c r="E33" t="s">
        <v>393</v>
      </c>
      <c r="F33" t="b">
        <v>0</v>
      </c>
      <c r="G33" t="s">
        <v>391</v>
      </c>
      <c r="H33" t="s">
        <v>391</v>
      </c>
    </row>
    <row r="34" spans="1:8" x14ac:dyDescent="0.35">
      <c r="A34" t="s">
        <v>308</v>
      </c>
      <c r="B34">
        <v>45</v>
      </c>
      <c r="C34" t="s">
        <v>403</v>
      </c>
      <c r="D34" t="s">
        <v>391</v>
      </c>
      <c r="E34" t="s">
        <v>393</v>
      </c>
      <c r="F34" t="b">
        <v>0</v>
      </c>
      <c r="G34" t="s">
        <v>391</v>
      </c>
      <c r="H34" t="s">
        <v>391</v>
      </c>
    </row>
    <row r="35" spans="1:8" x14ac:dyDescent="0.35">
      <c r="A35" t="s">
        <v>309</v>
      </c>
      <c r="B35">
        <v>48</v>
      </c>
      <c r="C35" t="s">
        <v>392</v>
      </c>
      <c r="D35" t="s">
        <v>391</v>
      </c>
      <c r="E35" t="s">
        <v>393</v>
      </c>
      <c r="F35" t="b">
        <v>0</v>
      </c>
      <c r="G35" t="s">
        <v>391</v>
      </c>
      <c r="H35" t="s">
        <v>391</v>
      </c>
    </row>
    <row r="36" spans="1:8" x14ac:dyDescent="0.35">
      <c r="A36" t="s">
        <v>310</v>
      </c>
      <c r="B36">
        <v>49</v>
      </c>
      <c r="C36" t="s">
        <v>402</v>
      </c>
      <c r="D36" t="s">
        <v>391</v>
      </c>
      <c r="E36" t="s">
        <v>391</v>
      </c>
      <c r="F36" t="b">
        <v>0</v>
      </c>
      <c r="G36" t="s">
        <v>391</v>
      </c>
      <c r="H36" t="s">
        <v>391</v>
      </c>
    </row>
    <row r="37" spans="1:8" hidden="1" x14ac:dyDescent="0.35">
      <c r="A37" t="s">
        <v>311</v>
      </c>
      <c r="B37">
        <v>50</v>
      </c>
      <c r="C37" t="s">
        <v>400</v>
      </c>
      <c r="D37" t="s">
        <v>391</v>
      </c>
      <c r="E37" t="s">
        <v>391</v>
      </c>
      <c r="F37" t="s">
        <v>404</v>
      </c>
      <c r="G37" t="b">
        <v>0</v>
      </c>
      <c r="H37" t="s">
        <v>391</v>
      </c>
    </row>
    <row r="38" spans="1:8" hidden="1" x14ac:dyDescent="0.35">
      <c r="A38" t="s">
        <v>312</v>
      </c>
      <c r="B38">
        <v>51</v>
      </c>
      <c r="C38" t="s">
        <v>400</v>
      </c>
      <c r="D38" t="s">
        <v>391</v>
      </c>
      <c r="E38" t="s">
        <v>391</v>
      </c>
      <c r="F38" t="s">
        <v>404</v>
      </c>
      <c r="G38" t="b">
        <v>0</v>
      </c>
      <c r="H38" t="s">
        <v>391</v>
      </c>
    </row>
    <row r="39" spans="1:8" x14ac:dyDescent="0.35">
      <c r="A39" t="s">
        <v>313</v>
      </c>
      <c r="B39">
        <v>53</v>
      </c>
      <c r="C39" t="s">
        <v>392</v>
      </c>
      <c r="D39" t="s">
        <v>391</v>
      </c>
      <c r="E39" t="s">
        <v>393</v>
      </c>
      <c r="F39" t="b">
        <v>0</v>
      </c>
      <c r="G39" t="s">
        <v>391</v>
      </c>
      <c r="H39" t="s">
        <v>391</v>
      </c>
    </row>
    <row r="40" spans="1:8" x14ac:dyDescent="0.35">
      <c r="A40" t="s">
        <v>314</v>
      </c>
      <c r="B40">
        <v>54</v>
      </c>
      <c r="C40" t="s">
        <v>392</v>
      </c>
      <c r="D40" t="s">
        <v>391</v>
      </c>
      <c r="E40" t="s">
        <v>393</v>
      </c>
      <c r="F40" t="b">
        <v>0</v>
      </c>
      <c r="G40" t="s">
        <v>391</v>
      </c>
      <c r="H40" t="s">
        <v>391</v>
      </c>
    </row>
    <row r="41" spans="1:8" x14ac:dyDescent="0.35">
      <c r="A41" t="s">
        <v>315</v>
      </c>
      <c r="B41">
        <v>57</v>
      </c>
      <c r="C41" t="s">
        <v>392</v>
      </c>
      <c r="D41" t="s">
        <v>391</v>
      </c>
      <c r="E41" t="s">
        <v>393</v>
      </c>
      <c r="F41" t="b">
        <v>0</v>
      </c>
      <c r="G41" t="s">
        <v>391</v>
      </c>
      <c r="H41" t="s">
        <v>391</v>
      </c>
    </row>
    <row r="42" spans="1:8" x14ac:dyDescent="0.35">
      <c r="A42" t="s">
        <v>316</v>
      </c>
      <c r="B42">
        <v>58</v>
      </c>
      <c r="C42" t="s">
        <v>403</v>
      </c>
      <c r="D42" t="s">
        <v>391</v>
      </c>
      <c r="E42" t="s">
        <v>393</v>
      </c>
      <c r="F42" t="b">
        <v>0</v>
      </c>
      <c r="G42" t="s">
        <v>391</v>
      </c>
      <c r="H42" t="s">
        <v>391</v>
      </c>
    </row>
    <row r="43" spans="1:8" x14ac:dyDescent="0.35">
      <c r="A43" t="s">
        <v>317</v>
      </c>
      <c r="B43">
        <v>59</v>
      </c>
      <c r="C43" t="s">
        <v>402</v>
      </c>
      <c r="D43" t="s">
        <v>391</v>
      </c>
      <c r="E43" t="s">
        <v>391</v>
      </c>
      <c r="F43" t="b">
        <v>0</v>
      </c>
      <c r="G43" t="s">
        <v>391</v>
      </c>
      <c r="H43" t="s">
        <v>391</v>
      </c>
    </row>
    <row r="44" spans="1:8" x14ac:dyDescent="0.35">
      <c r="A44" t="s">
        <v>318</v>
      </c>
      <c r="B44">
        <v>60</v>
      </c>
      <c r="C44" t="s">
        <v>402</v>
      </c>
      <c r="D44" t="s">
        <v>391</v>
      </c>
      <c r="E44" t="s">
        <v>391</v>
      </c>
      <c r="F44" t="b">
        <v>0</v>
      </c>
      <c r="G44" t="s">
        <v>391</v>
      </c>
      <c r="H44" t="s">
        <v>391</v>
      </c>
    </row>
    <row r="45" spans="1:8" x14ac:dyDescent="0.35">
      <c r="A45" t="s">
        <v>319</v>
      </c>
      <c r="B45">
        <v>61</v>
      </c>
      <c r="C45" t="s">
        <v>401</v>
      </c>
      <c r="D45" t="s">
        <v>391</v>
      </c>
      <c r="E45" t="s">
        <v>393</v>
      </c>
      <c r="F45" t="b">
        <v>0</v>
      </c>
      <c r="G45" t="s">
        <v>391</v>
      </c>
      <c r="H45" t="s">
        <v>391</v>
      </c>
    </row>
    <row r="46" spans="1:8" x14ac:dyDescent="0.35">
      <c r="A46" t="s">
        <v>320</v>
      </c>
      <c r="B46">
        <v>62</v>
      </c>
      <c r="C46" t="s">
        <v>396</v>
      </c>
      <c r="D46" t="s">
        <v>391</v>
      </c>
      <c r="E46" t="s">
        <v>393</v>
      </c>
      <c r="F46" t="b">
        <v>0</v>
      </c>
      <c r="G46" t="s">
        <v>391</v>
      </c>
      <c r="H46" t="s">
        <v>391</v>
      </c>
    </row>
    <row r="47" spans="1:8" x14ac:dyDescent="0.35">
      <c r="A47" t="s">
        <v>321</v>
      </c>
      <c r="B47">
        <v>63</v>
      </c>
      <c r="C47" t="s">
        <v>401</v>
      </c>
      <c r="D47" t="s">
        <v>391</v>
      </c>
      <c r="E47" t="s">
        <v>393</v>
      </c>
      <c r="F47" t="b">
        <v>0</v>
      </c>
      <c r="G47" t="s">
        <v>391</v>
      </c>
      <c r="H47" t="s">
        <v>391</v>
      </c>
    </row>
    <row r="48" spans="1:8" x14ac:dyDescent="0.35">
      <c r="A48" t="s">
        <v>322</v>
      </c>
      <c r="B48">
        <v>64</v>
      </c>
      <c r="C48" t="s">
        <v>394</v>
      </c>
      <c r="D48" t="s">
        <v>391</v>
      </c>
      <c r="E48" t="s">
        <v>393</v>
      </c>
      <c r="F48" t="b">
        <v>0</v>
      </c>
      <c r="G48" t="s">
        <v>391</v>
      </c>
      <c r="H48" t="s">
        <v>391</v>
      </c>
    </row>
    <row r="49" spans="1:8" x14ac:dyDescent="0.35">
      <c r="A49" t="s">
        <v>323</v>
      </c>
      <c r="B49">
        <v>65</v>
      </c>
      <c r="C49" t="s">
        <v>401</v>
      </c>
      <c r="D49" t="s">
        <v>391</v>
      </c>
      <c r="E49" t="s">
        <v>393</v>
      </c>
      <c r="F49" t="b">
        <v>0</v>
      </c>
      <c r="G49" t="s">
        <v>391</v>
      </c>
      <c r="H49" t="s">
        <v>391</v>
      </c>
    </row>
    <row r="50" spans="1:8" x14ac:dyDescent="0.35">
      <c r="A50" t="s">
        <v>324</v>
      </c>
      <c r="B50">
        <v>66</v>
      </c>
      <c r="C50" t="s">
        <v>401</v>
      </c>
      <c r="D50" t="s">
        <v>391</v>
      </c>
      <c r="E50" t="s">
        <v>393</v>
      </c>
      <c r="F50" t="b">
        <v>0</v>
      </c>
      <c r="G50" t="s">
        <v>391</v>
      </c>
      <c r="H50" t="s">
        <v>391</v>
      </c>
    </row>
    <row r="51" spans="1:8" x14ac:dyDescent="0.35">
      <c r="A51" t="s">
        <v>325</v>
      </c>
      <c r="B51">
        <v>67</v>
      </c>
      <c r="C51" t="s">
        <v>401</v>
      </c>
      <c r="D51" t="s">
        <v>391</v>
      </c>
      <c r="E51" t="s">
        <v>393</v>
      </c>
      <c r="F51" t="b">
        <v>0</v>
      </c>
      <c r="G51" t="s">
        <v>391</v>
      </c>
      <c r="H51" t="s">
        <v>391</v>
      </c>
    </row>
    <row r="52" spans="1:8" x14ac:dyDescent="0.35">
      <c r="A52" t="s">
        <v>326</v>
      </c>
      <c r="B52">
        <v>68</v>
      </c>
      <c r="C52" t="s">
        <v>392</v>
      </c>
      <c r="D52" t="s">
        <v>391</v>
      </c>
      <c r="E52" t="s">
        <v>393</v>
      </c>
      <c r="F52" t="b">
        <v>0</v>
      </c>
      <c r="G52" t="s">
        <v>391</v>
      </c>
      <c r="H52" t="s">
        <v>391</v>
      </c>
    </row>
    <row r="53" spans="1:8" x14ac:dyDescent="0.35">
      <c r="A53" t="s">
        <v>327</v>
      </c>
      <c r="B53">
        <v>69</v>
      </c>
      <c r="C53" t="s">
        <v>392</v>
      </c>
      <c r="D53" t="s">
        <v>391</v>
      </c>
      <c r="E53" t="s">
        <v>393</v>
      </c>
      <c r="F53" t="b">
        <v>0</v>
      </c>
      <c r="G53" t="s">
        <v>391</v>
      </c>
      <c r="H53" t="s">
        <v>391</v>
      </c>
    </row>
    <row r="54" spans="1:8" x14ac:dyDescent="0.35">
      <c r="A54" t="s">
        <v>328</v>
      </c>
      <c r="B54">
        <v>70</v>
      </c>
      <c r="C54" t="s">
        <v>400</v>
      </c>
      <c r="D54" t="s">
        <v>391</v>
      </c>
      <c r="E54" t="s">
        <v>391</v>
      </c>
      <c r="F54" t="b">
        <v>0</v>
      </c>
      <c r="G54" t="b">
        <v>0</v>
      </c>
      <c r="H54" t="s">
        <v>391</v>
      </c>
    </row>
    <row r="55" spans="1:8" x14ac:dyDescent="0.35">
      <c r="A55" t="s">
        <v>329</v>
      </c>
      <c r="B55">
        <v>72</v>
      </c>
      <c r="C55" t="s">
        <v>401</v>
      </c>
      <c r="D55" t="s">
        <v>391</v>
      </c>
      <c r="E55" t="s">
        <v>393</v>
      </c>
      <c r="F55" t="b">
        <v>0</v>
      </c>
      <c r="G55" t="s">
        <v>391</v>
      </c>
      <c r="H55" t="s">
        <v>391</v>
      </c>
    </row>
    <row r="56" spans="1:8" x14ac:dyDescent="0.35">
      <c r="A56" t="s">
        <v>330</v>
      </c>
      <c r="B56">
        <v>73</v>
      </c>
      <c r="C56" t="s">
        <v>400</v>
      </c>
      <c r="D56" t="s">
        <v>391</v>
      </c>
      <c r="E56" t="s">
        <v>391</v>
      </c>
      <c r="F56" t="b">
        <v>0</v>
      </c>
      <c r="G56" t="b">
        <v>0</v>
      </c>
      <c r="H56" t="s">
        <v>391</v>
      </c>
    </row>
    <row r="57" spans="1:8" x14ac:dyDescent="0.35">
      <c r="A57" t="s">
        <v>331</v>
      </c>
      <c r="B57">
        <v>74</v>
      </c>
      <c r="C57" t="s">
        <v>400</v>
      </c>
      <c r="D57" t="s">
        <v>391</v>
      </c>
      <c r="E57" t="s">
        <v>391</v>
      </c>
      <c r="F57" t="b">
        <v>0</v>
      </c>
      <c r="G57" t="b">
        <v>0</v>
      </c>
      <c r="H57" t="s">
        <v>391</v>
      </c>
    </row>
    <row r="58" spans="1:8" x14ac:dyDescent="0.35">
      <c r="A58" t="s">
        <v>332</v>
      </c>
      <c r="B58">
        <v>75</v>
      </c>
      <c r="C58" t="s">
        <v>392</v>
      </c>
      <c r="D58" t="s">
        <v>391</v>
      </c>
      <c r="E58" t="s">
        <v>393</v>
      </c>
      <c r="F58" t="b">
        <v>0</v>
      </c>
      <c r="G58" t="s">
        <v>391</v>
      </c>
      <c r="H58" t="s">
        <v>391</v>
      </c>
    </row>
    <row r="59" spans="1:8" x14ac:dyDescent="0.35">
      <c r="A59" t="s">
        <v>333</v>
      </c>
      <c r="B59">
        <v>76</v>
      </c>
      <c r="C59" t="s">
        <v>392</v>
      </c>
      <c r="D59" t="s">
        <v>391</v>
      </c>
      <c r="E59" t="s">
        <v>393</v>
      </c>
      <c r="F59" t="b">
        <v>0</v>
      </c>
      <c r="G59" t="s">
        <v>391</v>
      </c>
      <c r="H59" t="s">
        <v>391</v>
      </c>
    </row>
    <row r="60" spans="1:8" x14ac:dyDescent="0.35">
      <c r="A60" t="s">
        <v>334</v>
      </c>
      <c r="B60">
        <v>77</v>
      </c>
      <c r="C60" t="s">
        <v>402</v>
      </c>
      <c r="D60" t="s">
        <v>391</v>
      </c>
      <c r="E60" t="s">
        <v>391</v>
      </c>
      <c r="F60" t="b">
        <v>0</v>
      </c>
      <c r="G60" t="s">
        <v>391</v>
      </c>
      <c r="H60" t="s">
        <v>391</v>
      </c>
    </row>
    <row r="61" spans="1:8" x14ac:dyDescent="0.35">
      <c r="A61" t="s">
        <v>335</v>
      </c>
      <c r="B61">
        <v>79</v>
      </c>
      <c r="C61" t="s">
        <v>392</v>
      </c>
      <c r="D61" t="s">
        <v>391</v>
      </c>
      <c r="E61" t="s">
        <v>393</v>
      </c>
      <c r="F61" t="b">
        <v>0</v>
      </c>
      <c r="G61" t="s">
        <v>391</v>
      </c>
      <c r="H61" t="s">
        <v>391</v>
      </c>
    </row>
    <row r="62" spans="1:8" x14ac:dyDescent="0.35">
      <c r="A62" t="s">
        <v>336</v>
      </c>
      <c r="B62">
        <v>80</v>
      </c>
      <c r="C62" t="s">
        <v>401</v>
      </c>
      <c r="D62" t="s">
        <v>391</v>
      </c>
      <c r="E62" t="s">
        <v>393</v>
      </c>
      <c r="F62" t="b">
        <v>0</v>
      </c>
      <c r="G62" t="s">
        <v>391</v>
      </c>
      <c r="H62" t="s">
        <v>391</v>
      </c>
    </row>
    <row r="63" spans="1:8" x14ac:dyDescent="0.35">
      <c r="A63" t="s">
        <v>337</v>
      </c>
      <c r="B63">
        <v>81</v>
      </c>
      <c r="C63" t="s">
        <v>402</v>
      </c>
      <c r="D63" t="s">
        <v>391</v>
      </c>
      <c r="E63" t="s">
        <v>391</v>
      </c>
      <c r="F63" t="b">
        <v>0</v>
      </c>
      <c r="G63" t="s">
        <v>391</v>
      </c>
      <c r="H63" t="s">
        <v>391</v>
      </c>
    </row>
    <row r="64" spans="1:8" x14ac:dyDescent="0.35">
      <c r="A64" t="s">
        <v>338</v>
      </c>
      <c r="B64">
        <v>82</v>
      </c>
      <c r="C64" t="s">
        <v>402</v>
      </c>
      <c r="D64" t="s">
        <v>391</v>
      </c>
      <c r="E64" t="s">
        <v>391</v>
      </c>
      <c r="F64" t="b">
        <v>0</v>
      </c>
      <c r="G64" t="s">
        <v>391</v>
      </c>
      <c r="H64" t="s">
        <v>391</v>
      </c>
    </row>
    <row r="65" spans="1:8" x14ac:dyDescent="0.35">
      <c r="A65" t="s">
        <v>339</v>
      </c>
      <c r="B65">
        <v>83</v>
      </c>
      <c r="C65" t="s">
        <v>402</v>
      </c>
      <c r="D65" t="s">
        <v>391</v>
      </c>
      <c r="E65" t="s">
        <v>391</v>
      </c>
      <c r="F65" t="b">
        <v>0</v>
      </c>
      <c r="G65" t="s">
        <v>391</v>
      </c>
      <c r="H65" t="s">
        <v>391</v>
      </c>
    </row>
    <row r="66" spans="1:8" x14ac:dyDescent="0.35">
      <c r="A66" t="s">
        <v>340</v>
      </c>
      <c r="B66">
        <v>84</v>
      </c>
      <c r="C66" t="s">
        <v>402</v>
      </c>
      <c r="D66" t="s">
        <v>391</v>
      </c>
      <c r="E66" t="s">
        <v>391</v>
      </c>
      <c r="F66" t="b">
        <v>0</v>
      </c>
      <c r="G66" t="s">
        <v>391</v>
      </c>
      <c r="H66" t="s">
        <v>391</v>
      </c>
    </row>
    <row r="67" spans="1:8" x14ac:dyDescent="0.35">
      <c r="A67" t="s">
        <v>341</v>
      </c>
      <c r="B67">
        <v>85</v>
      </c>
      <c r="C67" t="s">
        <v>402</v>
      </c>
      <c r="D67" t="s">
        <v>391</v>
      </c>
      <c r="E67" t="s">
        <v>391</v>
      </c>
      <c r="F67" t="b">
        <v>0</v>
      </c>
      <c r="G67" t="s">
        <v>391</v>
      </c>
      <c r="H67" t="s">
        <v>391</v>
      </c>
    </row>
    <row r="68" spans="1:8" x14ac:dyDescent="0.35">
      <c r="A68" t="s">
        <v>342</v>
      </c>
      <c r="B68">
        <v>86</v>
      </c>
      <c r="C68" t="s">
        <v>402</v>
      </c>
      <c r="D68" t="s">
        <v>391</v>
      </c>
      <c r="E68" t="s">
        <v>391</v>
      </c>
      <c r="F68" t="b">
        <v>0</v>
      </c>
      <c r="G68" t="s">
        <v>391</v>
      </c>
      <c r="H68" t="s">
        <v>391</v>
      </c>
    </row>
    <row r="69" spans="1:8" x14ac:dyDescent="0.35">
      <c r="A69" t="s">
        <v>343</v>
      </c>
      <c r="B69">
        <v>87</v>
      </c>
      <c r="C69" t="s">
        <v>402</v>
      </c>
      <c r="D69" t="s">
        <v>391</v>
      </c>
      <c r="E69" t="s">
        <v>391</v>
      </c>
      <c r="F69" t="b">
        <v>0</v>
      </c>
      <c r="G69" t="s">
        <v>391</v>
      </c>
      <c r="H69" t="s">
        <v>391</v>
      </c>
    </row>
    <row r="70" spans="1:8" x14ac:dyDescent="0.35">
      <c r="A70" t="s">
        <v>344</v>
      </c>
      <c r="B70">
        <v>88</v>
      </c>
      <c r="C70" t="s">
        <v>402</v>
      </c>
      <c r="D70" t="s">
        <v>391</v>
      </c>
      <c r="E70" t="s">
        <v>391</v>
      </c>
      <c r="F70" t="b">
        <v>0</v>
      </c>
      <c r="G70" t="s">
        <v>391</v>
      </c>
      <c r="H70" t="s">
        <v>391</v>
      </c>
    </row>
    <row r="71" spans="1:8" x14ac:dyDescent="0.35">
      <c r="A71" t="s">
        <v>345</v>
      </c>
      <c r="B71">
        <v>89</v>
      </c>
      <c r="C71" t="s">
        <v>402</v>
      </c>
      <c r="D71" t="s">
        <v>391</v>
      </c>
      <c r="E71" t="s">
        <v>391</v>
      </c>
      <c r="F71" t="b">
        <v>0</v>
      </c>
      <c r="G71" t="s">
        <v>391</v>
      </c>
      <c r="H71" t="s">
        <v>391</v>
      </c>
    </row>
    <row r="72" spans="1:8" x14ac:dyDescent="0.35">
      <c r="A72" t="s">
        <v>346</v>
      </c>
      <c r="B72">
        <v>90</v>
      </c>
      <c r="C72" t="s">
        <v>402</v>
      </c>
      <c r="D72" t="s">
        <v>391</v>
      </c>
      <c r="E72" t="s">
        <v>391</v>
      </c>
      <c r="F72" t="b">
        <v>0</v>
      </c>
      <c r="G72" t="s">
        <v>391</v>
      </c>
      <c r="H72" t="s">
        <v>391</v>
      </c>
    </row>
    <row r="73" spans="1:8" x14ac:dyDescent="0.35">
      <c r="A73" t="s">
        <v>347</v>
      </c>
      <c r="B73">
        <v>91</v>
      </c>
      <c r="C73" t="s">
        <v>402</v>
      </c>
      <c r="D73" t="s">
        <v>391</v>
      </c>
      <c r="E73" t="s">
        <v>391</v>
      </c>
      <c r="F73" t="b">
        <v>0</v>
      </c>
      <c r="G73" t="s">
        <v>391</v>
      </c>
      <c r="H73" t="s">
        <v>391</v>
      </c>
    </row>
    <row r="74" spans="1:8" x14ac:dyDescent="0.35">
      <c r="A74" t="s">
        <v>348</v>
      </c>
      <c r="B74">
        <v>92</v>
      </c>
      <c r="C74" t="s">
        <v>402</v>
      </c>
      <c r="D74" t="s">
        <v>391</v>
      </c>
      <c r="E74" t="s">
        <v>391</v>
      </c>
      <c r="F74" t="b">
        <v>0</v>
      </c>
      <c r="G74" t="s">
        <v>391</v>
      </c>
      <c r="H74" t="s">
        <v>391</v>
      </c>
    </row>
    <row r="75" spans="1:8" x14ac:dyDescent="0.35">
      <c r="A75" t="s">
        <v>349</v>
      </c>
      <c r="B75">
        <v>93</v>
      </c>
      <c r="C75" t="s">
        <v>402</v>
      </c>
      <c r="D75" t="s">
        <v>391</v>
      </c>
      <c r="E75" t="s">
        <v>391</v>
      </c>
      <c r="F75" t="b">
        <v>0</v>
      </c>
      <c r="G75" t="s">
        <v>391</v>
      </c>
      <c r="H75" t="s">
        <v>391</v>
      </c>
    </row>
    <row r="76" spans="1:8" x14ac:dyDescent="0.35">
      <c r="A76" t="s">
        <v>350</v>
      </c>
      <c r="B76">
        <v>94</v>
      </c>
      <c r="C76" t="s">
        <v>402</v>
      </c>
      <c r="D76" t="s">
        <v>391</v>
      </c>
      <c r="E76" t="s">
        <v>391</v>
      </c>
      <c r="F76" t="b">
        <v>0</v>
      </c>
      <c r="G76" t="s">
        <v>391</v>
      </c>
      <c r="H76" t="s">
        <v>391</v>
      </c>
    </row>
    <row r="77" spans="1:8" x14ac:dyDescent="0.35">
      <c r="A77" t="s">
        <v>351</v>
      </c>
      <c r="B77">
        <v>95</v>
      </c>
      <c r="C77" t="s">
        <v>402</v>
      </c>
      <c r="D77" t="s">
        <v>391</v>
      </c>
      <c r="E77" t="s">
        <v>391</v>
      </c>
      <c r="F77" t="b">
        <v>0</v>
      </c>
      <c r="G77" t="s">
        <v>391</v>
      </c>
      <c r="H77" t="s">
        <v>391</v>
      </c>
    </row>
    <row r="78" spans="1:8" x14ac:dyDescent="0.35">
      <c r="A78" t="s">
        <v>352</v>
      </c>
      <c r="B78">
        <v>96</v>
      </c>
      <c r="C78" t="s">
        <v>392</v>
      </c>
      <c r="D78" t="s">
        <v>391</v>
      </c>
      <c r="E78" t="s">
        <v>393</v>
      </c>
      <c r="F78" t="b">
        <v>0</v>
      </c>
      <c r="G78" t="s">
        <v>391</v>
      </c>
      <c r="H78" t="s">
        <v>391</v>
      </c>
    </row>
    <row r="79" spans="1:8" x14ac:dyDescent="0.35">
      <c r="A79" t="s">
        <v>353</v>
      </c>
      <c r="B79">
        <v>98</v>
      </c>
      <c r="C79" t="s">
        <v>402</v>
      </c>
      <c r="D79" t="s">
        <v>391</v>
      </c>
      <c r="E79" t="s">
        <v>391</v>
      </c>
      <c r="F79" t="b">
        <v>0</v>
      </c>
      <c r="G79" t="s">
        <v>391</v>
      </c>
      <c r="H79" t="s">
        <v>391</v>
      </c>
    </row>
    <row r="80" spans="1:8" x14ac:dyDescent="0.35">
      <c r="A80" t="s">
        <v>354</v>
      </c>
      <c r="B80">
        <v>99</v>
      </c>
      <c r="C80" t="s">
        <v>402</v>
      </c>
      <c r="D80" t="s">
        <v>391</v>
      </c>
      <c r="E80" t="s">
        <v>391</v>
      </c>
      <c r="F80" t="b">
        <v>0</v>
      </c>
      <c r="G80" t="s">
        <v>391</v>
      </c>
      <c r="H80" t="s">
        <v>391</v>
      </c>
    </row>
    <row r="81" spans="1:8" x14ac:dyDescent="0.35">
      <c r="A81" t="s">
        <v>355</v>
      </c>
      <c r="B81">
        <v>103</v>
      </c>
      <c r="C81" t="s">
        <v>389</v>
      </c>
      <c r="D81" t="s">
        <v>391</v>
      </c>
      <c r="E81" t="s">
        <v>391</v>
      </c>
      <c r="F81" t="b">
        <v>0</v>
      </c>
      <c r="G81" t="s">
        <v>391</v>
      </c>
      <c r="H81" t="s">
        <v>391</v>
      </c>
    </row>
    <row r="82" spans="1:8" x14ac:dyDescent="0.35">
      <c r="A82" t="s">
        <v>356</v>
      </c>
      <c r="B82">
        <v>104</v>
      </c>
      <c r="C82" t="s">
        <v>389</v>
      </c>
      <c r="D82" t="s">
        <v>391</v>
      </c>
      <c r="E82" t="s">
        <v>391</v>
      </c>
      <c r="F82" t="b">
        <v>0</v>
      </c>
      <c r="G82" t="s">
        <v>391</v>
      </c>
      <c r="H82" t="s">
        <v>391</v>
      </c>
    </row>
    <row r="83" spans="1:8" x14ac:dyDescent="0.35">
      <c r="A83" t="s">
        <v>357</v>
      </c>
      <c r="B83">
        <v>107</v>
      </c>
      <c r="C83" t="s">
        <v>389</v>
      </c>
      <c r="D83" t="s">
        <v>391</v>
      </c>
      <c r="E83" t="s">
        <v>391</v>
      </c>
      <c r="F83" t="b">
        <v>0</v>
      </c>
      <c r="G83" t="s">
        <v>391</v>
      </c>
      <c r="H83" t="s">
        <v>391</v>
      </c>
    </row>
    <row r="84" spans="1:8" x14ac:dyDescent="0.35">
      <c r="A84" t="s">
        <v>358</v>
      </c>
      <c r="B84">
        <v>108</v>
      </c>
      <c r="C84" t="s">
        <v>389</v>
      </c>
      <c r="D84" t="s">
        <v>391</v>
      </c>
      <c r="E84" t="s">
        <v>391</v>
      </c>
      <c r="F84" t="b">
        <v>0</v>
      </c>
      <c r="G84" t="s">
        <v>391</v>
      </c>
      <c r="H84" t="s">
        <v>391</v>
      </c>
    </row>
    <row r="85" spans="1:8" x14ac:dyDescent="0.35">
      <c r="A85" t="s">
        <v>359</v>
      </c>
      <c r="B85">
        <v>110</v>
      </c>
      <c r="C85" t="s">
        <v>389</v>
      </c>
      <c r="D85" t="s">
        <v>391</v>
      </c>
      <c r="E85" t="s">
        <v>391</v>
      </c>
      <c r="F85" t="b">
        <v>0</v>
      </c>
      <c r="G85" t="s">
        <v>391</v>
      </c>
      <c r="H85" t="s">
        <v>391</v>
      </c>
    </row>
    <row r="86" spans="1:8" x14ac:dyDescent="0.35">
      <c r="A86" t="s">
        <v>360</v>
      </c>
      <c r="B86">
        <v>111</v>
      </c>
      <c r="C86" t="s">
        <v>389</v>
      </c>
      <c r="D86" t="s">
        <v>391</v>
      </c>
      <c r="E86" t="s">
        <v>391</v>
      </c>
      <c r="F86" t="b">
        <v>0</v>
      </c>
      <c r="G86" t="s">
        <v>391</v>
      </c>
      <c r="H86" t="s">
        <v>391</v>
      </c>
    </row>
    <row r="87" spans="1:8" x14ac:dyDescent="0.35">
      <c r="A87" t="s">
        <v>361</v>
      </c>
      <c r="B87">
        <v>112</v>
      </c>
      <c r="C87" t="s">
        <v>389</v>
      </c>
      <c r="D87" t="s">
        <v>391</v>
      </c>
      <c r="E87" t="s">
        <v>391</v>
      </c>
      <c r="F87" t="b">
        <v>0</v>
      </c>
      <c r="G87" t="s">
        <v>391</v>
      </c>
      <c r="H87" t="s">
        <v>391</v>
      </c>
    </row>
    <row r="88" spans="1:8" x14ac:dyDescent="0.35">
      <c r="A88" t="s">
        <v>362</v>
      </c>
      <c r="B88">
        <v>113</v>
      </c>
      <c r="C88" t="s">
        <v>389</v>
      </c>
      <c r="D88" t="s">
        <v>391</v>
      </c>
      <c r="E88" t="s">
        <v>391</v>
      </c>
      <c r="F88" t="b">
        <v>0</v>
      </c>
      <c r="G88" t="s">
        <v>391</v>
      </c>
      <c r="H88" t="s">
        <v>391</v>
      </c>
    </row>
    <row r="89" spans="1:8" x14ac:dyDescent="0.35">
      <c r="A89" t="s">
        <v>363</v>
      </c>
      <c r="B89">
        <v>114</v>
      </c>
      <c r="C89" t="s">
        <v>389</v>
      </c>
      <c r="D89" t="s">
        <v>391</v>
      </c>
      <c r="E89" t="s">
        <v>391</v>
      </c>
      <c r="F89" t="b">
        <v>0</v>
      </c>
      <c r="G89" t="s">
        <v>391</v>
      </c>
      <c r="H89" t="s">
        <v>391</v>
      </c>
    </row>
    <row r="90" spans="1:8" x14ac:dyDescent="0.35">
      <c r="A90" t="s">
        <v>364</v>
      </c>
      <c r="B90">
        <v>115</v>
      </c>
      <c r="C90" t="s">
        <v>389</v>
      </c>
      <c r="D90" t="s">
        <v>391</v>
      </c>
      <c r="E90" t="s">
        <v>391</v>
      </c>
      <c r="F90" t="b">
        <v>0</v>
      </c>
      <c r="G90" t="s">
        <v>391</v>
      </c>
      <c r="H90" t="s">
        <v>391</v>
      </c>
    </row>
    <row r="91" spans="1:8" x14ac:dyDescent="0.35">
      <c r="A91" t="s">
        <v>365</v>
      </c>
      <c r="B91">
        <v>117</v>
      </c>
      <c r="C91" t="s">
        <v>389</v>
      </c>
      <c r="D91" t="s">
        <v>391</v>
      </c>
      <c r="E91" t="s">
        <v>391</v>
      </c>
      <c r="F91" t="b">
        <v>0</v>
      </c>
      <c r="G91" t="s">
        <v>391</v>
      </c>
      <c r="H91" t="s">
        <v>391</v>
      </c>
    </row>
    <row r="92" spans="1:8" x14ac:dyDescent="0.35">
      <c r="A92" t="s">
        <v>366</v>
      </c>
      <c r="B92">
        <v>118</v>
      </c>
      <c r="C92" t="s">
        <v>389</v>
      </c>
      <c r="D92" t="s">
        <v>391</v>
      </c>
      <c r="E92" t="s">
        <v>391</v>
      </c>
      <c r="F92" t="b">
        <v>0</v>
      </c>
      <c r="G92" t="s">
        <v>391</v>
      </c>
      <c r="H92" t="s">
        <v>391</v>
      </c>
    </row>
    <row r="93" spans="1:8" x14ac:dyDescent="0.35">
      <c r="A93" t="s">
        <v>367</v>
      </c>
      <c r="B93">
        <v>119</v>
      </c>
      <c r="C93" t="s">
        <v>389</v>
      </c>
      <c r="D93" t="s">
        <v>391</v>
      </c>
      <c r="E93" t="s">
        <v>391</v>
      </c>
      <c r="F93" t="b">
        <v>0</v>
      </c>
      <c r="G93" t="s">
        <v>391</v>
      </c>
      <c r="H93" t="s">
        <v>391</v>
      </c>
    </row>
    <row r="94" spans="1:8" x14ac:dyDescent="0.35">
      <c r="A94" t="s">
        <v>368</v>
      </c>
      <c r="B94">
        <v>120</v>
      </c>
      <c r="C94" t="s">
        <v>389</v>
      </c>
      <c r="D94" t="s">
        <v>391</v>
      </c>
      <c r="E94" t="s">
        <v>391</v>
      </c>
      <c r="F94" t="b">
        <v>0</v>
      </c>
      <c r="G94" t="s">
        <v>391</v>
      </c>
      <c r="H94" t="s">
        <v>391</v>
      </c>
    </row>
    <row r="95" spans="1:8" x14ac:dyDescent="0.35">
      <c r="A95" t="s">
        <v>369</v>
      </c>
      <c r="B95">
        <v>121</v>
      </c>
      <c r="C95" t="s">
        <v>389</v>
      </c>
      <c r="D95" t="s">
        <v>391</v>
      </c>
      <c r="E95" t="s">
        <v>391</v>
      </c>
      <c r="F95" t="b">
        <v>0</v>
      </c>
      <c r="G95" t="s">
        <v>391</v>
      </c>
      <c r="H95" t="s">
        <v>391</v>
      </c>
    </row>
    <row r="96" spans="1:8" x14ac:dyDescent="0.35">
      <c r="A96" t="s">
        <v>370</v>
      </c>
      <c r="B96">
        <v>122</v>
      </c>
      <c r="C96" t="s">
        <v>389</v>
      </c>
      <c r="D96" t="s">
        <v>391</v>
      </c>
      <c r="E96" t="s">
        <v>391</v>
      </c>
      <c r="F96" t="b">
        <v>0</v>
      </c>
      <c r="G96" t="s">
        <v>391</v>
      </c>
      <c r="H96" t="s">
        <v>391</v>
      </c>
    </row>
    <row r="97" spans="1:8" x14ac:dyDescent="0.35">
      <c r="A97" t="s">
        <v>371</v>
      </c>
      <c r="B97">
        <v>125</v>
      </c>
      <c r="C97" t="s">
        <v>389</v>
      </c>
      <c r="D97" t="s">
        <v>391</v>
      </c>
      <c r="E97" t="s">
        <v>391</v>
      </c>
      <c r="F97" t="b">
        <v>0</v>
      </c>
      <c r="G97" t="s">
        <v>391</v>
      </c>
      <c r="H97" t="s">
        <v>391</v>
      </c>
    </row>
    <row r="98" spans="1:8" x14ac:dyDescent="0.35">
      <c r="A98" t="s">
        <v>372</v>
      </c>
      <c r="B98">
        <v>126</v>
      </c>
      <c r="C98" t="s">
        <v>389</v>
      </c>
      <c r="D98" t="s">
        <v>391</v>
      </c>
      <c r="E98" t="s">
        <v>391</v>
      </c>
      <c r="F98" t="b">
        <v>0</v>
      </c>
      <c r="G98" t="s">
        <v>391</v>
      </c>
      <c r="H98" t="s">
        <v>391</v>
      </c>
    </row>
    <row r="99" spans="1:8" x14ac:dyDescent="0.35">
      <c r="A99" t="s">
        <v>373</v>
      </c>
      <c r="B99">
        <v>127</v>
      </c>
      <c r="C99" t="s">
        <v>389</v>
      </c>
      <c r="D99" t="s">
        <v>391</v>
      </c>
      <c r="E99" t="s">
        <v>391</v>
      </c>
      <c r="F99" t="b">
        <v>0</v>
      </c>
      <c r="G99" t="s">
        <v>391</v>
      </c>
      <c r="H99" t="s">
        <v>391</v>
      </c>
    </row>
    <row r="100" spans="1:8" x14ac:dyDescent="0.35">
      <c r="A100" t="s">
        <v>374</v>
      </c>
      <c r="B100">
        <v>129</v>
      </c>
      <c r="C100" t="s">
        <v>389</v>
      </c>
      <c r="D100" t="s">
        <v>391</v>
      </c>
      <c r="E100" t="s">
        <v>391</v>
      </c>
      <c r="F100" t="b">
        <v>0</v>
      </c>
      <c r="G100" t="s">
        <v>391</v>
      </c>
      <c r="H100" t="s">
        <v>391</v>
      </c>
    </row>
    <row r="101" spans="1:8" x14ac:dyDescent="0.35">
      <c r="A101" t="s">
        <v>375</v>
      </c>
      <c r="B101">
        <v>130</v>
      </c>
      <c r="C101" t="s">
        <v>389</v>
      </c>
      <c r="D101" t="s">
        <v>391</v>
      </c>
      <c r="E101" t="s">
        <v>391</v>
      </c>
      <c r="F101" t="b">
        <v>0</v>
      </c>
      <c r="G101" t="s">
        <v>391</v>
      </c>
      <c r="H101" t="s">
        <v>391</v>
      </c>
    </row>
    <row r="102" spans="1:8" x14ac:dyDescent="0.35">
      <c r="A102" t="s">
        <v>376</v>
      </c>
      <c r="B102">
        <v>131</v>
      </c>
      <c r="C102" t="s">
        <v>389</v>
      </c>
      <c r="D102" t="s">
        <v>391</v>
      </c>
      <c r="E102" t="s">
        <v>391</v>
      </c>
      <c r="F102" t="b">
        <v>0</v>
      </c>
      <c r="G102" t="s">
        <v>391</v>
      </c>
      <c r="H102" t="s">
        <v>391</v>
      </c>
    </row>
    <row r="103" spans="1:8" x14ac:dyDescent="0.35">
      <c r="A103" t="s">
        <v>377</v>
      </c>
      <c r="B103">
        <v>132</v>
      </c>
      <c r="C103" t="s">
        <v>389</v>
      </c>
      <c r="D103" t="s">
        <v>391</v>
      </c>
      <c r="E103" t="s">
        <v>391</v>
      </c>
      <c r="F103" t="b">
        <v>0</v>
      </c>
      <c r="G103" t="s">
        <v>391</v>
      </c>
      <c r="H103" t="s">
        <v>391</v>
      </c>
    </row>
    <row r="104" spans="1:8" x14ac:dyDescent="0.35">
      <c r="A104" t="s">
        <v>378</v>
      </c>
      <c r="B104">
        <v>133</v>
      </c>
      <c r="C104" t="s">
        <v>389</v>
      </c>
      <c r="D104" t="s">
        <v>391</v>
      </c>
      <c r="E104" t="s">
        <v>391</v>
      </c>
      <c r="F104" t="b">
        <v>0</v>
      </c>
      <c r="G104" t="s">
        <v>391</v>
      </c>
      <c r="H104" t="s">
        <v>391</v>
      </c>
    </row>
    <row r="105" spans="1:8" x14ac:dyDescent="0.35">
      <c r="A105" t="s">
        <v>379</v>
      </c>
      <c r="B105">
        <v>134</v>
      </c>
      <c r="C105" t="s">
        <v>389</v>
      </c>
      <c r="D105" t="s">
        <v>391</v>
      </c>
      <c r="E105" t="s">
        <v>391</v>
      </c>
      <c r="F105" t="b">
        <v>0</v>
      </c>
      <c r="G105" t="s">
        <v>391</v>
      </c>
      <c r="H105" t="s">
        <v>391</v>
      </c>
    </row>
    <row r="106" spans="1:8" x14ac:dyDescent="0.35">
      <c r="A106" t="s">
        <v>380</v>
      </c>
      <c r="B106">
        <v>135</v>
      </c>
      <c r="C106" t="s">
        <v>389</v>
      </c>
      <c r="D106" t="s">
        <v>391</v>
      </c>
      <c r="E106" t="s">
        <v>391</v>
      </c>
      <c r="F106" t="b">
        <v>0</v>
      </c>
      <c r="G106" t="s">
        <v>391</v>
      </c>
      <c r="H106" t="s">
        <v>391</v>
      </c>
    </row>
  </sheetData>
  <autoFilter ref="A1:H106">
    <filterColumn colId="5">
      <filters>
        <filter val="FAL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5"/>
  <sheetViews>
    <sheetView workbookViewId="0">
      <selection activeCell="A115" sqref="A115"/>
    </sheetView>
  </sheetViews>
  <sheetFormatPr defaultRowHeight="14.5" x14ac:dyDescent="0.35"/>
  <cols>
    <col min="1" max="1" width="24.54296875" bestFit="1" customWidth="1"/>
  </cols>
  <sheetData>
    <row r="1" spans="1:1" x14ac:dyDescent="0.35">
      <c r="A1" t="s">
        <v>270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164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92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165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271</v>
      </c>
    </row>
    <row r="26" spans="1:1" x14ac:dyDescent="0.35">
      <c r="A26" t="s">
        <v>272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273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256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257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61</v>
      </c>
    </row>
    <row r="66" spans="1:1" x14ac:dyDescent="0.35">
      <c r="A66" t="s">
        <v>62</v>
      </c>
    </row>
    <row r="67" spans="1:1" x14ac:dyDescent="0.35">
      <c r="A67" t="s">
        <v>63</v>
      </c>
    </row>
    <row r="68" spans="1:1" x14ac:dyDescent="0.35">
      <c r="A68" t="s">
        <v>258</v>
      </c>
    </row>
    <row r="69" spans="1:1" x14ac:dyDescent="0.35">
      <c r="A69" t="s">
        <v>259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84</v>
      </c>
    </row>
    <row r="80" spans="1:1" x14ac:dyDescent="0.35">
      <c r="A80" t="s">
        <v>85</v>
      </c>
    </row>
    <row r="81" spans="1:1" x14ac:dyDescent="0.35">
      <c r="A81" t="s">
        <v>86</v>
      </c>
    </row>
    <row r="82" spans="1:1" x14ac:dyDescent="0.35">
      <c r="A82" t="s">
        <v>87</v>
      </c>
    </row>
    <row r="83" spans="1:1" x14ac:dyDescent="0.35">
      <c r="A83" t="s">
        <v>103</v>
      </c>
    </row>
    <row r="84" spans="1:1" x14ac:dyDescent="0.35">
      <c r="A84" t="s">
        <v>161</v>
      </c>
    </row>
    <row r="85" spans="1:1" x14ac:dyDescent="0.35">
      <c r="A85" t="s">
        <v>88</v>
      </c>
    </row>
    <row r="86" spans="1:1" x14ac:dyDescent="0.35">
      <c r="A86" t="s">
        <v>274</v>
      </c>
    </row>
    <row r="87" spans="1:1" x14ac:dyDescent="0.35">
      <c r="A87" t="s">
        <v>275</v>
      </c>
    </row>
    <row r="88" spans="1:1" x14ac:dyDescent="0.35">
      <c r="A88" t="s">
        <v>93</v>
      </c>
    </row>
    <row r="89" spans="1:1" x14ac:dyDescent="0.35">
      <c r="A89" t="s">
        <v>94</v>
      </c>
    </row>
    <row r="90" spans="1:1" x14ac:dyDescent="0.35">
      <c r="A90" t="s">
        <v>95</v>
      </c>
    </row>
    <row r="91" spans="1:1" x14ac:dyDescent="0.35">
      <c r="A91" t="s">
        <v>96</v>
      </c>
    </row>
    <row r="92" spans="1:1" x14ac:dyDescent="0.35">
      <c r="A92" t="s">
        <v>97</v>
      </c>
    </row>
    <row r="93" spans="1:1" x14ac:dyDescent="0.35">
      <c r="A93" t="s">
        <v>98</v>
      </c>
    </row>
    <row r="94" spans="1:1" x14ac:dyDescent="0.35">
      <c r="A94" t="s">
        <v>99</v>
      </c>
    </row>
    <row r="95" spans="1:1" x14ac:dyDescent="0.35">
      <c r="A95" t="s">
        <v>100</v>
      </c>
    </row>
    <row r="96" spans="1:1" x14ac:dyDescent="0.35">
      <c r="A96" t="s">
        <v>101</v>
      </c>
    </row>
    <row r="97" spans="1:1" x14ac:dyDescent="0.35">
      <c r="A97" t="s">
        <v>102</v>
      </c>
    </row>
    <row r="98" spans="1:1" x14ac:dyDescent="0.35">
      <c r="A98" t="s">
        <v>103</v>
      </c>
    </row>
    <row r="99" spans="1:1" x14ac:dyDescent="0.35">
      <c r="A99" t="s">
        <v>104</v>
      </c>
    </row>
    <row r="100" spans="1:1" x14ac:dyDescent="0.35">
      <c r="A100" t="s">
        <v>105</v>
      </c>
    </row>
    <row r="101" spans="1:1" x14ac:dyDescent="0.35">
      <c r="A101" t="s">
        <v>106</v>
      </c>
    </row>
    <row r="102" spans="1:1" x14ac:dyDescent="0.35">
      <c r="A102" t="s">
        <v>107</v>
      </c>
    </row>
    <row r="103" spans="1:1" x14ac:dyDescent="0.35">
      <c r="A103" t="s">
        <v>108</v>
      </c>
    </row>
    <row r="104" spans="1:1" x14ac:dyDescent="0.35">
      <c r="A104" t="s">
        <v>109</v>
      </c>
    </row>
    <row r="105" spans="1:1" x14ac:dyDescent="0.35">
      <c r="A105" t="s">
        <v>110</v>
      </c>
    </row>
    <row r="106" spans="1:1" x14ac:dyDescent="0.35">
      <c r="A106" t="s">
        <v>111</v>
      </c>
    </row>
    <row r="107" spans="1:1" x14ac:dyDescent="0.35">
      <c r="A107" t="s">
        <v>125</v>
      </c>
    </row>
    <row r="108" spans="1:1" x14ac:dyDescent="0.35">
      <c r="A108" t="s">
        <v>126</v>
      </c>
    </row>
    <row r="109" spans="1:1" x14ac:dyDescent="0.35">
      <c r="A109" t="s">
        <v>127</v>
      </c>
    </row>
    <row r="110" spans="1:1" x14ac:dyDescent="0.35">
      <c r="A110" t="s">
        <v>128</v>
      </c>
    </row>
    <row r="111" spans="1:1" x14ac:dyDescent="0.35">
      <c r="A111" t="s">
        <v>130</v>
      </c>
    </row>
    <row r="112" spans="1:1" x14ac:dyDescent="0.35">
      <c r="A112" t="s">
        <v>131</v>
      </c>
    </row>
    <row r="113" spans="1:1" x14ac:dyDescent="0.35">
      <c r="A113" t="s">
        <v>132</v>
      </c>
    </row>
    <row r="114" spans="1:1" x14ac:dyDescent="0.35">
      <c r="A114" t="s">
        <v>133</v>
      </c>
    </row>
    <row r="115" spans="1:1" x14ac:dyDescent="0.35">
      <c r="A115" t="s">
        <v>134</v>
      </c>
    </row>
    <row r="116" spans="1:1" x14ac:dyDescent="0.35">
      <c r="A116" t="s">
        <v>141</v>
      </c>
    </row>
    <row r="117" spans="1:1" x14ac:dyDescent="0.35">
      <c r="A117" t="s">
        <v>135</v>
      </c>
    </row>
    <row r="118" spans="1:1" x14ac:dyDescent="0.35">
      <c r="A118" t="s">
        <v>136</v>
      </c>
    </row>
    <row r="119" spans="1:1" x14ac:dyDescent="0.35">
      <c r="A119" t="s">
        <v>137</v>
      </c>
    </row>
    <row r="120" spans="1:1" x14ac:dyDescent="0.35">
      <c r="A120" t="s">
        <v>138</v>
      </c>
    </row>
    <row r="121" spans="1:1" x14ac:dyDescent="0.35">
      <c r="A121" t="s">
        <v>164</v>
      </c>
    </row>
    <row r="122" spans="1:1" x14ac:dyDescent="0.35">
      <c r="A122" t="s">
        <v>143</v>
      </c>
    </row>
    <row r="123" spans="1:1" x14ac:dyDescent="0.35">
      <c r="A123" t="s">
        <v>144</v>
      </c>
    </row>
    <row r="124" spans="1:1" x14ac:dyDescent="0.35">
      <c r="A124" t="s">
        <v>145</v>
      </c>
    </row>
    <row r="125" spans="1:1" x14ac:dyDescent="0.35">
      <c r="A125" t="s">
        <v>146</v>
      </c>
    </row>
    <row r="126" spans="1:1" x14ac:dyDescent="0.35">
      <c r="A126" t="s">
        <v>147</v>
      </c>
    </row>
    <row r="127" spans="1:1" x14ac:dyDescent="0.35">
      <c r="A127" t="s">
        <v>148</v>
      </c>
    </row>
    <row r="128" spans="1:1" x14ac:dyDescent="0.35">
      <c r="A128" t="s">
        <v>149</v>
      </c>
    </row>
    <row r="129" spans="1:1" x14ac:dyDescent="0.35">
      <c r="A129" t="s">
        <v>101</v>
      </c>
    </row>
    <row r="130" spans="1:1" x14ac:dyDescent="0.35">
      <c r="A130" t="s">
        <v>151</v>
      </c>
    </row>
    <row r="131" spans="1:1" x14ac:dyDescent="0.35">
      <c r="A131" t="s">
        <v>152</v>
      </c>
    </row>
    <row r="132" spans="1:1" x14ac:dyDescent="0.35">
      <c r="A132" t="s">
        <v>153</v>
      </c>
    </row>
    <row r="133" spans="1:1" x14ac:dyDescent="0.35">
      <c r="A133" t="s">
        <v>154</v>
      </c>
    </row>
    <row r="134" spans="1:1" x14ac:dyDescent="0.35">
      <c r="A134" t="s">
        <v>155</v>
      </c>
    </row>
    <row r="135" spans="1:1" x14ac:dyDescent="0.35">
      <c r="A135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2026-03-24T04:02:53Z</dcterms:modified>
</cp:coreProperties>
</file>